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8080"/>
  </bookViews>
  <sheets>
    <sheet name="F1 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<sst xmlns="http://schemas.openxmlformats.org/spreadsheetml/2006/main" count="264" uniqueCount="26">
  <si>
    <t>C/C++ DM Mapping Metrics DEEPSEEK</t>
  </si>
  <si>
    <t>Project</t>
  </si>
  <si>
    <t>TFIDF</t>
  </si>
  <si>
    <t>DeepSeek LLM-S</t>
  </si>
  <si>
    <t>DeepSeek LLM-A</t>
  </si>
  <si>
    <t>DeepSeek IP-RAG</t>
  </si>
  <si>
    <t/>
  </si>
  <si>
    <t>precision</t>
  </si>
  <si>
    <t>recall</t>
  </si>
  <si>
    <t>f1</t>
  </si>
  <si>
    <t>audioflux</t>
  </si>
  <si>
    <t>bgslibrary</t>
  </si>
  <si>
    <t>distributed_camera</t>
  </si>
  <si>
    <t>proxygen</t>
  </si>
  <si>
    <t>Mean</t>
  </si>
  <si>
    <t>C/C++ DM Mapping Metrics GLM</t>
  </si>
  <si>
    <t>GLM LLM-S</t>
  </si>
  <si>
    <t>GLM LLM-A</t>
  </si>
  <si>
    <t>GLM IP-RAG</t>
  </si>
  <si>
    <t>C/C++ DM Mapping Metrics QWEN</t>
  </si>
  <si>
    <t>Qwen LLM-S</t>
  </si>
  <si>
    <t>Qwen LLM-A</t>
  </si>
  <si>
    <t>Qwen IP-RAG</t>
  </si>
  <si>
    <t>C/C++ UM Mapping Metrics DEEPSEEK</t>
  </si>
  <si>
    <t>C/C++ UM Mapping Metrics GLM</t>
  </si>
  <si>
    <t>C/C++ UM Mapping Metrics QWEN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</si>
</sst>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"/>
  </numFmts>
  <fonts count="25">
    <font>
      <sz val="11"/>
      <name val="Carlito"/>
      <charset val="134"/>
    </font>
    <font>
      <b/>
      <sz val="13"/>
      <color rgb="FFFFFFFF"/>
      <name val="Carlito"/>
      <charset val="134"/>
    </font>
    <font>
      <b/>
      <sz val="11"/>
      <color rgb="FF17365D"/>
      <name val="Carlito"/>
      <charset val="134"/>
    </font>
    <font>
      <b/>
      <sz val="11"/>
      <color rgb="FFFF0000"/>
      <name val="Carlito"/>
      <charset val="134"/>
    </font>
    <font>
      <b/>
      <sz val="11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rgb="FFD9E2EC"/>
      </left>
      <right style="thin">
        <color rgb="FFD9E2EC"/>
      </right>
      <top style="thin">
        <color rgb="FFD9E2EC"/>
      </top>
      <bottom style="thin">
        <color rgb="FFD9E2EC"/>
      </bottom>
      <diagonal/>
    </border>
    <border>
      <left/>
      <right style="thin">
        <color rgb="FFE7E6E6"/>
      </right>
      <top/>
      <bottom style="thin">
        <color rgb="FFE7E6E6"/>
      </bottom>
      <diagonal/>
    </border>
    <border>
      <left style="thin">
        <color rgb="FFE7E6E6"/>
      </left>
      <right style="thin">
        <color rgb="FFE7E6E6"/>
      </right>
      <top/>
      <bottom style="thin">
        <color rgb="FFE7E6E6"/>
      </bottom>
      <diagonal/>
    </border>
    <border>
      <left style="thin">
        <color rgb="FFE7E6E6"/>
      </left>
      <right/>
      <top/>
      <bottom style="thin">
        <color rgb="FFE7E6E6"/>
      </bottom>
      <diagonal/>
    </border>
    <border>
      <left/>
      <right style="thin">
        <color rgb="FFE7E6E6"/>
      </right>
      <top style="thin">
        <color rgb="FFE7E6E6"/>
      </top>
      <bottom style="thin">
        <color rgb="FFE7E6E6"/>
      </bottom>
      <diagonal/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  <diagonal/>
    </border>
    <border>
      <left style="thin">
        <color rgb="FFE7E6E6"/>
      </left>
      <right/>
      <top style="thin">
        <color rgb="FFE7E6E6"/>
      </top>
      <bottom style="thin">
        <color rgb="FFE7E6E6"/>
      </bottom>
      <diagonal/>
    </border>
    <border>
      <left/>
      <right style="thin">
        <color rgb="FFD9E2EC"/>
      </right>
      <top style="thin">
        <color rgb="FFE7E6E6"/>
      </top>
      <bottom/>
      <diagonal/>
    </border>
    <border>
      <left style="thin">
        <color rgb="FFD9E2EC"/>
      </left>
      <right style="thin">
        <color rgb="FFD9E2EC"/>
      </right>
      <top style="thin">
        <color rgb="FFE7E6E6"/>
      </top>
      <bottom/>
      <diagonal/>
    </border>
    <border>
      <left style="thin">
        <color rgb="FFD9E2EC"/>
      </left>
      <right style="thin">
        <color rgb="FFE7E6E6"/>
      </right>
      <top style="thin">
        <color rgb="FFE7E6E6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5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5" borderId="1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12" applyNumberFormat="0" applyFill="0" applyAlignment="0" applyProtection="0">
      <alignment vertical="center"/>
    </xf>
    <xf numFmtId="0" fontId="12" fillId="0" borderId="12" applyNumberFormat="0" applyFill="0" applyAlignment="0" applyProtection="0">
      <alignment vertical="center"/>
    </xf>
    <xf numFmtId="0" fontId="13" fillId="0" borderId="1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14" applyNumberFormat="0" applyAlignment="0" applyProtection="0">
      <alignment vertical="center"/>
    </xf>
    <xf numFmtId="0" fontId="15" fillId="7" borderId="15" applyNumberFormat="0" applyAlignment="0" applyProtection="0">
      <alignment vertical="center"/>
    </xf>
    <xf numFmtId="0" fontId="16" fillId="7" borderId="14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8" fillId="0" borderId="17" applyNumberFormat="0" applyFill="0" applyAlignment="0" applyProtection="0">
      <alignment vertical="center"/>
    </xf>
    <xf numFmtId="0" fontId="19" fillId="0" borderId="18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0" fillId="0" borderId="0"/>
  </cellStyleXfs>
  <cellXfs count="16">
    <xf numFmtId="0" fontId="0" fillId="0" borderId="0" xfId="49"/>
    <xf numFmtId="0" fontId="1" fillId="2" borderId="0" xfId="49" applyNumberFormat="1" applyFont="1" applyFill="1" applyBorder="1" applyAlignment="1">
      <alignment horizontal="center" vertical="center"/>
    </xf>
    <xf numFmtId="0" fontId="2" fillId="3" borderId="1" xfId="49" applyNumberFormat="1" applyFont="1" applyFill="1" applyBorder="1" applyAlignment="1">
      <alignment horizontal="center" vertical="center"/>
    </xf>
    <xf numFmtId="0" fontId="3" fillId="3" borderId="1" xfId="49" applyNumberFormat="1" applyFont="1" applyFill="1" applyBorder="1" applyAlignment="1">
      <alignment horizontal="center" vertical="center"/>
    </xf>
    <xf numFmtId="0" fontId="0" fillId="0" borderId="2" xfId="49" applyNumberFormat="1" applyFont="1" applyFill="1" applyBorder="1" applyAlignment="1">
      <alignment vertical="center"/>
    </xf>
    <xf numFmtId="176" fontId="0" fillId="0" borderId="3" xfId="49" applyNumberFormat="1" applyFont="1" applyFill="1" applyBorder="1" applyAlignment="1">
      <alignment vertical="center"/>
    </xf>
    <xf numFmtId="176" fontId="3" fillId="0" borderId="3" xfId="49" applyNumberFormat="1" applyFont="1" applyFill="1" applyBorder="1" applyAlignment="1">
      <alignment vertical="center"/>
    </xf>
    <xf numFmtId="176" fontId="3" fillId="0" borderId="4" xfId="49" applyNumberFormat="1" applyFont="1" applyFill="1" applyBorder="1" applyAlignment="1">
      <alignment vertical="center"/>
    </xf>
    <xf numFmtId="0" fontId="0" fillId="0" borderId="5" xfId="49" applyNumberFormat="1" applyFont="1" applyFill="1" applyBorder="1" applyAlignment="1">
      <alignment vertical="center"/>
    </xf>
    <xf numFmtId="176" fontId="0" fillId="0" borderId="6" xfId="49" applyNumberFormat="1" applyFont="1" applyFill="1" applyBorder="1" applyAlignment="1">
      <alignment vertical="center"/>
    </xf>
    <xf numFmtId="176" fontId="3" fillId="0" borderId="6" xfId="49" applyNumberFormat="1" applyFont="1" applyFill="1" applyBorder="1" applyAlignment="1">
      <alignment vertical="center"/>
    </xf>
    <xf numFmtId="176" fontId="3" fillId="0" borderId="7" xfId="49" applyNumberFormat="1" applyFont="1" applyFill="1" applyBorder="1" applyAlignment="1">
      <alignment vertical="center"/>
    </xf>
    <xf numFmtId="0" fontId="4" fillId="4" borderId="8" xfId="49" applyNumberFormat="1" applyFont="1" applyFill="1" applyBorder="1" applyAlignment="1">
      <alignment vertical="center"/>
    </xf>
    <xf numFmtId="176" fontId="4" fillId="4" borderId="9" xfId="49" applyNumberFormat="1" applyFont="1" applyFill="1" applyBorder="1" applyAlignment="1">
      <alignment vertical="center"/>
    </xf>
    <xf numFmtId="176" fontId="3" fillId="4" borderId="9" xfId="49" applyNumberFormat="1" applyFont="1" applyFill="1" applyBorder="1" applyAlignment="1">
      <alignment vertical="center"/>
    </xf>
    <xf numFmtId="176" fontId="3" fillId="4" borderId="10" xfId="49" applyNumberFormat="1" applyFont="1" applyFill="1" applyBorder="1" applyAlignment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3"/>
  <sheetViews>
    <sheetView showGridLines="0" tabSelected="1" topLeftCell="A22" workbookViewId="0">
      <selection activeCell="F40" sqref="F40"/>
    </sheetView>
  </sheetViews>
  <sheetFormatPr defaultColWidth="9" defaultRowHeight="14"/>
  <cols>
    <col min="1" max="1" width="16.8333333333333" customWidth="1"/>
    <col min="2" max="2" width="11.3333333333333" customWidth="1"/>
    <col min="3" max="3" width="11.0833333333333" customWidth="1"/>
    <col min="4" max="4" width="7.91666666666667" customWidth="1"/>
    <col min="5" max="5" width="9.08333333333333" customWidth="1"/>
    <col min="6" max="6" width="10.3333333333333" customWidth="1"/>
    <col min="7" max="7" width="9.08333333333333" customWidth="1"/>
    <col min="8" max="8" width="10.3333333333333" customWidth="1"/>
    <col min="9" max="9" width="9" customWidth="1"/>
    <col min="10" max="10" width="8.58333333333333" customWidth="1"/>
    <col min="11" max="11" width="7.83333333333333" customWidth="1"/>
    <col min="12" max="12" width="10.3333333333333" customWidth="1"/>
    <col min="13" max="13" width="8.91666666666667" customWidth="1"/>
  </cols>
  <sheetData>
    <row r="1" ht="15.6" customHeight="1" spans="1:1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1" t="s">
        <v>0</v>
      </c>
      <c r="L1" s="1" t="s">
        <v>0</v>
      </c>
      <c r="M1" s="1" t="s">
        <v>0</v>
      </c>
    </row>
    <row r="2" spans="1:13">
      <c r="A2" s="2" t="s">
        <v>1</v>
      </c>
      <c r="B2" s="2" t="s">
        <v>2</v>
      </c>
      <c r="C2" s="2" t="s">
        <v>2</v>
      </c>
      <c r="D2" s="2" t="s">
        <v>2</v>
      </c>
      <c r="E2" s="2" t="s">
        <v>3</v>
      </c>
      <c r="F2" s="2" t="s">
        <v>3</v>
      </c>
      <c r="G2" s="2" t="s">
        <v>3</v>
      </c>
      <c r="H2" s="2" t="s">
        <v>4</v>
      </c>
      <c r="I2" s="2" t="s">
        <v>4</v>
      </c>
      <c r="J2" s="2" t="s">
        <v>4</v>
      </c>
      <c r="K2" s="2" t="s">
        <v>5</v>
      </c>
      <c r="L2" s="2" t="s">
        <v>5</v>
      </c>
      <c r="M2" s="2" t="s">
        <v>5</v>
      </c>
    </row>
    <row r="3" spans="1:13">
      <c r="A3" s="2" t="s">
        <v>6</v>
      </c>
      <c r="B3" s="2" t="s">
        <v>7</v>
      </c>
      <c r="C3" s="2" t="s">
        <v>8</v>
      </c>
      <c r="D3" s="3" t="s">
        <v>9</v>
      </c>
      <c r="E3" s="2" t="s">
        <v>7</v>
      </c>
      <c r="F3" s="2" t="s">
        <v>8</v>
      </c>
      <c r="G3" s="3" t="s">
        <v>9</v>
      </c>
      <c r="H3" s="2" t="s">
        <v>7</v>
      </c>
      <c r="I3" s="2" t="s">
        <v>8</v>
      </c>
      <c r="J3" s="3" t="s">
        <v>9</v>
      </c>
      <c r="K3" s="2" t="s">
        <v>7</v>
      </c>
      <c r="L3" s="2" t="s">
        <v>8</v>
      </c>
      <c r="M3" s="3" t="s">
        <v>9</v>
      </c>
    </row>
    <row r="4" spans="1:13">
      <c r="A4" s="4" t="s">
        <v>10</v>
      </c>
      <c r="B4" s="5">
        <v>0.772</v>
      </c>
      <c r="C4" s="5">
        <v>0.4829</v>
      </c>
      <c r="D4" s="6">
        <v>0.5941</v>
      </c>
      <c r="E4" s="5">
        <v>0.549</v>
      </c>
      <c r="F4" s="5">
        <v>0.6677</v>
      </c>
      <c r="G4" s="6">
        <v>0.6026</v>
      </c>
      <c r="H4" s="5">
        <v>0.5797</v>
      </c>
      <c r="I4" s="5">
        <v>0.7399</v>
      </c>
      <c r="J4" s="6">
        <v>0.6501</v>
      </c>
      <c r="K4" s="5">
        <v>0.6237</v>
      </c>
      <c r="L4" s="5">
        <v>0.7735</v>
      </c>
      <c r="M4" s="7">
        <v>0.6906</v>
      </c>
    </row>
    <row r="5" spans="1:13">
      <c r="A5" s="8" t="s">
        <v>11</v>
      </c>
      <c r="B5" s="9">
        <v>0.558</v>
      </c>
      <c r="C5" s="9">
        <v>0.426</v>
      </c>
      <c r="D5" s="10">
        <v>0.4831</v>
      </c>
      <c r="E5" s="9">
        <v>0.5465</v>
      </c>
      <c r="F5" s="9">
        <v>0.4968</v>
      </c>
      <c r="G5" s="10">
        <v>0.5205</v>
      </c>
      <c r="H5" s="9">
        <v>0.5505</v>
      </c>
      <c r="I5" s="9">
        <v>0.5327</v>
      </c>
      <c r="J5" s="10">
        <v>0.5415</v>
      </c>
      <c r="K5" s="9">
        <v>0.5915</v>
      </c>
      <c r="L5" s="9">
        <v>0.5621</v>
      </c>
      <c r="M5" s="11">
        <v>0.5764</v>
      </c>
    </row>
    <row r="6" spans="1:13">
      <c r="A6" s="8" t="s">
        <v>12</v>
      </c>
      <c r="B6" s="9">
        <v>0.4545</v>
      </c>
      <c r="C6" s="9">
        <v>0.0268</v>
      </c>
      <c r="D6" s="10">
        <v>0.0506</v>
      </c>
      <c r="E6" s="9">
        <v>0.7243</v>
      </c>
      <c r="F6" s="9">
        <v>0.6708</v>
      </c>
      <c r="G6" s="10">
        <v>0.6965</v>
      </c>
      <c r="H6" s="9">
        <v>0.7168</v>
      </c>
      <c r="I6" s="9">
        <v>0.7717</v>
      </c>
      <c r="J6" s="10">
        <v>0.7432</v>
      </c>
      <c r="K6" s="9">
        <v>0.8276</v>
      </c>
      <c r="L6" s="9">
        <v>0.8874</v>
      </c>
      <c r="M6" s="11">
        <v>0.8565</v>
      </c>
    </row>
    <row r="7" spans="1:13">
      <c r="A7" s="8" t="s">
        <v>13</v>
      </c>
      <c r="B7" s="9">
        <v>0.8621</v>
      </c>
      <c r="C7" s="9">
        <v>0.4585</v>
      </c>
      <c r="D7" s="10">
        <v>0.5986</v>
      </c>
      <c r="E7" s="9">
        <v>0.8963</v>
      </c>
      <c r="F7" s="9">
        <v>0.8004</v>
      </c>
      <c r="G7" s="10">
        <v>0.8456</v>
      </c>
      <c r="H7" s="9">
        <v>0.8877</v>
      </c>
      <c r="I7" s="9">
        <v>0.9109</v>
      </c>
      <c r="J7" s="10">
        <v>0.8992</v>
      </c>
      <c r="K7" s="9">
        <v>0.9654</v>
      </c>
      <c r="L7" s="9">
        <v>0.9812</v>
      </c>
      <c r="M7" s="11">
        <v>0.9732</v>
      </c>
    </row>
    <row r="8" spans="1:13">
      <c r="A8" s="12" t="s">
        <v>14</v>
      </c>
      <c r="B8" s="13">
        <f t="shared" ref="B8:M8" si="0">AVERAGE(B4:B7)</f>
        <v>0.66165</v>
      </c>
      <c r="C8" s="13">
        <f t="shared" si="0"/>
        <v>0.34855</v>
      </c>
      <c r="D8" s="14">
        <f t="shared" si="0"/>
        <v>0.4316</v>
      </c>
      <c r="E8" s="13">
        <f t="shared" si="0"/>
        <v>0.679025</v>
      </c>
      <c r="F8" s="13">
        <f t="shared" si="0"/>
        <v>0.658925</v>
      </c>
      <c r="G8" s="14">
        <f t="shared" si="0"/>
        <v>0.6663</v>
      </c>
      <c r="H8" s="13">
        <f t="shared" si="0"/>
        <v>0.683675</v>
      </c>
      <c r="I8" s="13">
        <f t="shared" si="0"/>
        <v>0.7388</v>
      </c>
      <c r="J8" s="14">
        <f t="shared" si="0"/>
        <v>0.7085</v>
      </c>
      <c r="K8" s="13">
        <f t="shared" si="0"/>
        <v>0.75205</v>
      </c>
      <c r="L8" s="13">
        <f t="shared" si="0"/>
        <v>0.80105</v>
      </c>
      <c r="M8" s="15">
        <f t="shared" si="0"/>
        <v>0.774175</v>
      </c>
    </row>
    <row r="10" ht="16.5" spans="1:13">
      <c r="A10" s="1" t="s">
        <v>15</v>
      </c>
      <c r="B10" s="1" t="s">
        <v>15</v>
      </c>
      <c r="C10" s="1" t="s">
        <v>15</v>
      </c>
      <c r="D10" s="1" t="s">
        <v>15</v>
      </c>
      <c r="E10" s="1" t="s">
        <v>15</v>
      </c>
      <c r="F10" s="1" t="s">
        <v>15</v>
      </c>
      <c r="G10" s="1" t="s">
        <v>15</v>
      </c>
      <c r="H10" s="1" t="s">
        <v>15</v>
      </c>
      <c r="I10" s="1" t="s">
        <v>15</v>
      </c>
      <c r="J10" s="1" t="s">
        <v>15</v>
      </c>
      <c r="K10" s="1" t="s">
        <v>15</v>
      </c>
      <c r="L10" s="1" t="s">
        <v>15</v>
      </c>
      <c r="M10" s="1" t="s">
        <v>15</v>
      </c>
    </row>
    <row r="11" spans="1:13">
      <c r="A11" s="2" t="s">
        <v>1</v>
      </c>
      <c r="B11" s="2" t="s">
        <v>2</v>
      </c>
      <c r="C11" s="2" t="s">
        <v>2</v>
      </c>
      <c r="D11" s="2" t="s">
        <v>2</v>
      </c>
      <c r="E11" s="2" t="s">
        <v>16</v>
      </c>
      <c r="F11" s="2" t="s">
        <v>16</v>
      </c>
      <c r="G11" s="2" t="s">
        <v>16</v>
      </c>
      <c r="H11" s="2" t="s">
        <v>17</v>
      </c>
      <c r="I11" s="2" t="s">
        <v>17</v>
      </c>
      <c r="J11" s="2" t="s">
        <v>17</v>
      </c>
      <c r="K11" s="2" t="s">
        <v>18</v>
      </c>
      <c r="L11" s="2" t="s">
        <v>18</v>
      </c>
      <c r="M11" s="2" t="s">
        <v>18</v>
      </c>
    </row>
    <row r="12" spans="1:13">
      <c r="A12" s="2" t="s">
        <v>6</v>
      </c>
      <c r="B12" s="2" t="s">
        <v>7</v>
      </c>
      <c r="C12" s="2" t="s">
        <v>8</v>
      </c>
      <c r="D12" s="3" t="s">
        <v>9</v>
      </c>
      <c r="E12" s="2" t="s">
        <v>7</v>
      </c>
      <c r="F12" s="2" t="s">
        <v>8</v>
      </c>
      <c r="G12" s="3" t="s">
        <v>9</v>
      </c>
      <c r="H12" s="2" t="s">
        <v>7</v>
      </c>
      <c r="I12" s="2" t="s">
        <v>8</v>
      </c>
      <c r="J12" s="3" t="s">
        <v>9</v>
      </c>
      <c r="K12" s="2" t="s">
        <v>7</v>
      </c>
      <c r="L12" s="2" t="s">
        <v>8</v>
      </c>
      <c r="M12" s="3" t="s">
        <v>9</v>
      </c>
    </row>
    <row r="13" spans="1:13">
      <c r="A13" s="4" t="s">
        <v>10</v>
      </c>
      <c r="B13" s="5">
        <v>0.772</v>
      </c>
      <c r="C13" s="5">
        <v>0.4829</v>
      </c>
      <c r="D13" s="6">
        <v>0.5941</v>
      </c>
      <c r="E13" s="5">
        <v>0.6325</v>
      </c>
      <c r="F13" s="5">
        <v>0.3583</v>
      </c>
      <c r="G13" s="6">
        <v>0.4575</v>
      </c>
      <c r="H13" s="5">
        <v>0.5995</v>
      </c>
      <c r="I13" s="5">
        <v>0.745</v>
      </c>
      <c r="J13" s="6">
        <v>0.6644</v>
      </c>
      <c r="K13" s="5">
        <v>0.6123</v>
      </c>
      <c r="L13" s="5">
        <v>0.7164</v>
      </c>
      <c r="M13" s="7">
        <v>0.6603</v>
      </c>
    </row>
    <row r="14" spans="1:13">
      <c r="A14" s="8" t="s">
        <v>11</v>
      </c>
      <c r="B14" s="9">
        <v>0.558</v>
      </c>
      <c r="C14" s="9">
        <v>0.426</v>
      </c>
      <c r="D14" s="10">
        <v>0.4831</v>
      </c>
      <c r="E14" s="9">
        <v>0.5176</v>
      </c>
      <c r="F14" s="9">
        <v>0.4538</v>
      </c>
      <c r="G14" s="10">
        <v>0.4836</v>
      </c>
      <c r="H14" s="9">
        <v>0.4911</v>
      </c>
      <c r="I14" s="9">
        <v>0.4805</v>
      </c>
      <c r="J14" s="10">
        <v>0.4857</v>
      </c>
      <c r="K14" s="9">
        <v>0.559</v>
      </c>
      <c r="L14" s="9">
        <v>0.5344</v>
      </c>
      <c r="M14" s="11">
        <v>0.5464</v>
      </c>
    </row>
    <row r="15" spans="1:13">
      <c r="A15" s="8" t="s">
        <v>12</v>
      </c>
      <c r="B15" s="9">
        <v>0.4545</v>
      </c>
      <c r="C15" s="9">
        <v>0.0268</v>
      </c>
      <c r="D15" s="10">
        <v>0.0506</v>
      </c>
      <c r="E15" s="9">
        <v>0.7062</v>
      </c>
      <c r="F15" s="9">
        <v>0.442</v>
      </c>
      <c r="G15" s="10">
        <v>0.5437</v>
      </c>
      <c r="H15" s="9">
        <v>0.5855</v>
      </c>
      <c r="I15" s="9">
        <v>0.6238</v>
      </c>
      <c r="J15" s="10">
        <v>0.604</v>
      </c>
      <c r="K15" s="9">
        <v>0.7616</v>
      </c>
      <c r="L15" s="9">
        <v>0.8157</v>
      </c>
      <c r="M15" s="11">
        <v>0.7877</v>
      </c>
    </row>
    <row r="16" spans="1:13">
      <c r="A16" s="8" t="s">
        <v>13</v>
      </c>
      <c r="B16" s="9">
        <v>0.8621</v>
      </c>
      <c r="C16" s="9">
        <v>0.4585</v>
      </c>
      <c r="D16" s="10">
        <v>0.5986</v>
      </c>
      <c r="E16" s="9">
        <v>0.8424</v>
      </c>
      <c r="F16" s="9">
        <v>0.6318</v>
      </c>
      <c r="G16" s="10">
        <v>0.7221</v>
      </c>
      <c r="H16" s="9">
        <v>0.8437</v>
      </c>
      <c r="I16" s="9">
        <v>0.8622</v>
      </c>
      <c r="J16" s="10">
        <v>0.8528</v>
      </c>
      <c r="K16" s="9">
        <v>0.9483</v>
      </c>
      <c r="L16" s="9">
        <v>0.9555</v>
      </c>
      <c r="M16" s="11">
        <v>0.9519</v>
      </c>
    </row>
    <row r="17" spans="1:13">
      <c r="A17" s="12" t="s">
        <v>14</v>
      </c>
      <c r="B17" s="13">
        <f t="shared" ref="B17:M17" si="1">AVERAGE(B13:B16)</f>
        <v>0.66165</v>
      </c>
      <c r="C17" s="13">
        <f t="shared" si="1"/>
        <v>0.34855</v>
      </c>
      <c r="D17" s="14">
        <f t="shared" si="1"/>
        <v>0.4316</v>
      </c>
      <c r="E17" s="13">
        <f t="shared" si="1"/>
        <v>0.674675</v>
      </c>
      <c r="F17" s="13">
        <f t="shared" si="1"/>
        <v>0.471475</v>
      </c>
      <c r="G17" s="14">
        <f t="shared" si="1"/>
        <v>0.551725</v>
      </c>
      <c r="H17" s="13">
        <f t="shared" si="1"/>
        <v>0.62995</v>
      </c>
      <c r="I17" s="13">
        <f t="shared" si="1"/>
        <v>0.677875</v>
      </c>
      <c r="J17" s="14">
        <f t="shared" si="1"/>
        <v>0.651725</v>
      </c>
      <c r="K17" s="13">
        <f t="shared" si="1"/>
        <v>0.7203</v>
      </c>
      <c r="L17" s="13">
        <f t="shared" si="1"/>
        <v>0.7555</v>
      </c>
      <c r="M17" s="15">
        <f t="shared" si="1"/>
        <v>0.736575</v>
      </c>
    </row>
    <row r="19" ht="16.5" spans="1:13">
      <c r="A19" s="1" t="s">
        <v>19</v>
      </c>
      <c r="B19" s="1" t="s">
        <v>19</v>
      </c>
      <c r="C19" s="1" t="s">
        <v>19</v>
      </c>
      <c r="D19" s="1" t="s">
        <v>19</v>
      </c>
      <c r="E19" s="1" t="s">
        <v>19</v>
      </c>
      <c r="F19" s="1" t="s">
        <v>19</v>
      </c>
      <c r="G19" s="1" t="s">
        <v>19</v>
      </c>
      <c r="H19" s="1" t="s">
        <v>19</v>
      </c>
      <c r="I19" s="1" t="s">
        <v>19</v>
      </c>
      <c r="J19" s="1" t="s">
        <v>19</v>
      </c>
      <c r="K19" s="1" t="s">
        <v>19</v>
      </c>
      <c r="L19" s="1" t="s">
        <v>19</v>
      </c>
      <c r="M19" s="1" t="s">
        <v>19</v>
      </c>
    </row>
    <row r="20" spans="1:13">
      <c r="A20" s="2" t="s">
        <v>1</v>
      </c>
      <c r="B20" s="2" t="s">
        <v>2</v>
      </c>
      <c r="C20" s="2" t="s">
        <v>2</v>
      </c>
      <c r="D20" s="2" t="s">
        <v>2</v>
      </c>
      <c r="E20" s="2" t="s">
        <v>20</v>
      </c>
      <c r="F20" s="2" t="s">
        <v>20</v>
      </c>
      <c r="G20" s="2" t="s">
        <v>20</v>
      </c>
      <c r="H20" s="2" t="s">
        <v>21</v>
      </c>
      <c r="I20" s="2" t="s">
        <v>21</v>
      </c>
      <c r="J20" s="2" t="s">
        <v>21</v>
      </c>
      <c r="K20" s="2" t="s">
        <v>22</v>
      </c>
      <c r="L20" s="2" t="s">
        <v>22</v>
      </c>
      <c r="M20" s="2" t="s">
        <v>22</v>
      </c>
    </row>
    <row r="21" spans="1:13">
      <c r="A21" s="2" t="s">
        <v>6</v>
      </c>
      <c r="B21" s="2" t="s">
        <v>7</v>
      </c>
      <c r="C21" s="2" t="s">
        <v>8</v>
      </c>
      <c r="D21" s="3" t="s">
        <v>9</v>
      </c>
      <c r="E21" s="2" t="s">
        <v>7</v>
      </c>
      <c r="F21" s="2" t="s">
        <v>8</v>
      </c>
      <c r="G21" s="3" t="s">
        <v>9</v>
      </c>
      <c r="H21" s="2" t="s">
        <v>7</v>
      </c>
      <c r="I21" s="2" t="s">
        <v>8</v>
      </c>
      <c r="J21" s="3" t="s">
        <v>9</v>
      </c>
      <c r="K21" s="2" t="s">
        <v>7</v>
      </c>
      <c r="L21" s="2" t="s">
        <v>8</v>
      </c>
      <c r="M21" s="3" t="s">
        <v>9</v>
      </c>
    </row>
    <row r="22" spans="1:13">
      <c r="A22" s="4" t="s">
        <v>10</v>
      </c>
      <c r="B22" s="5">
        <v>0.772</v>
      </c>
      <c r="C22" s="5">
        <v>0.4829</v>
      </c>
      <c r="D22" s="6">
        <v>0.5941</v>
      </c>
      <c r="E22" s="5">
        <v>0.5617</v>
      </c>
      <c r="F22" s="5">
        <v>0.6157</v>
      </c>
      <c r="G22" s="6">
        <v>0.5875</v>
      </c>
      <c r="H22" s="5">
        <v>0.5722</v>
      </c>
      <c r="I22" s="5">
        <v>0.7254</v>
      </c>
      <c r="J22" s="6">
        <v>0.6398</v>
      </c>
      <c r="K22" s="5">
        <v>0.6255</v>
      </c>
      <c r="L22" s="5">
        <v>0.7923</v>
      </c>
      <c r="M22" s="7">
        <v>0.6991</v>
      </c>
    </row>
    <row r="23" spans="1:13">
      <c r="A23" s="8" t="s">
        <v>11</v>
      </c>
      <c r="B23" s="9">
        <v>0.558</v>
      </c>
      <c r="C23" s="9">
        <v>0.426</v>
      </c>
      <c r="D23" s="10">
        <v>0.4831</v>
      </c>
      <c r="E23" s="9">
        <v>0.5185</v>
      </c>
      <c r="F23" s="9">
        <v>0.4592</v>
      </c>
      <c r="G23" s="10">
        <v>0.4871</v>
      </c>
      <c r="H23" s="9">
        <v>0.5217</v>
      </c>
      <c r="I23" s="9">
        <v>0.4981</v>
      </c>
      <c r="J23" s="10">
        <v>0.5096</v>
      </c>
      <c r="K23" s="9">
        <v>0.5725</v>
      </c>
      <c r="L23" s="9">
        <v>0.5316</v>
      </c>
      <c r="M23" s="11">
        <v>0.5513</v>
      </c>
    </row>
    <row r="24" spans="1:13">
      <c r="A24" s="8" t="s">
        <v>12</v>
      </c>
      <c r="B24" s="9">
        <v>0.4545</v>
      </c>
      <c r="C24" s="9">
        <v>0.0282</v>
      </c>
      <c r="D24" s="10">
        <v>0.0531</v>
      </c>
      <c r="E24" s="9">
        <v>0.6133</v>
      </c>
      <c r="F24" s="9">
        <v>0.6495</v>
      </c>
      <c r="G24" s="10">
        <v>0.6309</v>
      </c>
      <c r="H24" s="9">
        <v>0.6255</v>
      </c>
      <c r="I24" s="9">
        <v>0.712</v>
      </c>
      <c r="J24" s="10">
        <v>0.666</v>
      </c>
      <c r="K24" s="9">
        <v>0.7215</v>
      </c>
      <c r="L24" s="9">
        <v>0.7447</v>
      </c>
      <c r="M24" s="11">
        <v>0.7329</v>
      </c>
    </row>
    <row r="25" spans="1:13">
      <c r="A25" s="8" t="s">
        <v>13</v>
      </c>
      <c r="B25" s="9">
        <v>0.8621</v>
      </c>
      <c r="C25" s="9">
        <v>0.4585</v>
      </c>
      <c r="D25" s="10">
        <v>0.5986</v>
      </c>
      <c r="E25" s="9">
        <v>0.8419</v>
      </c>
      <c r="F25" s="9">
        <v>0.7984</v>
      </c>
      <c r="G25" s="10">
        <v>0.8196</v>
      </c>
      <c r="H25" s="9">
        <v>0.8528</v>
      </c>
      <c r="I25" s="9">
        <v>0.8725</v>
      </c>
      <c r="J25" s="10">
        <v>0.8625</v>
      </c>
      <c r="K25" s="9">
        <v>0.9424</v>
      </c>
      <c r="L25" s="9">
        <v>0.9574</v>
      </c>
      <c r="M25" s="11">
        <v>0.9498</v>
      </c>
    </row>
    <row r="26" spans="1:13">
      <c r="A26" s="12" t="s">
        <v>14</v>
      </c>
      <c r="B26" s="13">
        <f t="shared" ref="B26:M26" si="2">AVERAGE(B22:B25)</f>
        <v>0.66165</v>
      </c>
      <c r="C26" s="13">
        <f t="shared" si="2"/>
        <v>0.3489</v>
      </c>
      <c r="D26" s="14">
        <f t="shared" si="2"/>
        <v>0.432225</v>
      </c>
      <c r="E26" s="13">
        <f t="shared" si="2"/>
        <v>0.63385</v>
      </c>
      <c r="F26" s="13">
        <f t="shared" si="2"/>
        <v>0.6307</v>
      </c>
      <c r="G26" s="14">
        <f t="shared" si="2"/>
        <v>0.631275</v>
      </c>
      <c r="H26" s="13">
        <f t="shared" si="2"/>
        <v>0.64305</v>
      </c>
      <c r="I26" s="13">
        <f t="shared" si="2"/>
        <v>0.702</v>
      </c>
      <c r="J26" s="14">
        <f t="shared" si="2"/>
        <v>0.669475</v>
      </c>
      <c r="K26" s="13">
        <f t="shared" si="2"/>
        <v>0.715475</v>
      </c>
      <c r="L26" s="13">
        <f t="shared" si="2"/>
        <v>0.7565</v>
      </c>
      <c r="M26" s="15">
        <f t="shared" si="2"/>
        <v>0.733275</v>
      </c>
    </row>
    <row r="28" ht="16.5" spans="1:13">
      <c r="A28" s="1" t="s">
        <v>23</v>
      </c>
      <c r="B28" s="1" t="s">
        <v>23</v>
      </c>
      <c r="C28" s="1" t="s">
        <v>23</v>
      </c>
      <c r="D28" s="1" t="s">
        <v>23</v>
      </c>
      <c r="E28" s="1" t="s">
        <v>23</v>
      </c>
      <c r="F28" s="1" t="s">
        <v>23</v>
      </c>
      <c r="G28" s="1" t="s">
        <v>23</v>
      </c>
      <c r="H28" s="1" t="s">
        <v>23</v>
      </c>
      <c r="I28" s="1" t="s">
        <v>23</v>
      </c>
      <c r="J28" s="1" t="s">
        <v>23</v>
      </c>
      <c r="K28" s="1" t="s">
        <v>23</v>
      </c>
      <c r="L28" s="1" t="s">
        <v>23</v>
      </c>
      <c r="M28" s="1" t="s">
        <v>23</v>
      </c>
    </row>
    <row r="29" spans="1:13">
      <c r="A29" s="2" t="s">
        <v>1</v>
      </c>
      <c r="B29" s="2" t="s">
        <v>2</v>
      </c>
      <c r="C29" s="2" t="s">
        <v>2</v>
      </c>
      <c r="D29" s="2" t="s">
        <v>2</v>
      </c>
      <c r="E29" s="2" t="s">
        <v>3</v>
      </c>
      <c r="F29" s="2" t="s">
        <v>3</v>
      </c>
      <c r="G29" s="2" t="s">
        <v>3</v>
      </c>
      <c r="H29" s="2" t="s">
        <v>4</v>
      </c>
      <c r="I29" s="2" t="s">
        <v>4</v>
      </c>
      <c r="J29" s="2" t="s">
        <v>4</v>
      </c>
      <c r="K29" s="2" t="s">
        <v>5</v>
      </c>
      <c r="L29" s="2" t="s">
        <v>5</v>
      </c>
      <c r="M29" s="2" t="s">
        <v>5</v>
      </c>
    </row>
    <row r="30" spans="1:13">
      <c r="A30" s="2" t="s">
        <v>6</v>
      </c>
      <c r="B30" s="2" t="s">
        <v>7</v>
      </c>
      <c r="C30" s="2" t="s">
        <v>8</v>
      </c>
      <c r="D30" s="3" t="s">
        <v>9</v>
      </c>
      <c r="E30" s="2" t="s">
        <v>7</v>
      </c>
      <c r="F30" s="2" t="s">
        <v>8</v>
      </c>
      <c r="G30" s="3" t="s">
        <v>9</v>
      </c>
      <c r="H30" s="2" t="s">
        <v>7</v>
      </c>
      <c r="I30" s="2" t="s">
        <v>8</v>
      </c>
      <c r="J30" s="3" t="s">
        <v>9</v>
      </c>
      <c r="K30" s="2" t="s">
        <v>7</v>
      </c>
      <c r="L30" s="2" t="s">
        <v>8</v>
      </c>
      <c r="M30" s="3" t="s">
        <v>9</v>
      </c>
    </row>
    <row r="31" spans="1:13">
      <c r="A31" s="4" t="s">
        <v>10</v>
      </c>
      <c r="B31" s="5">
        <v>0.3343</v>
      </c>
      <c r="C31" s="5">
        <v>0.8605</v>
      </c>
      <c r="D31" s="6">
        <v>0.4816</v>
      </c>
      <c r="E31" s="5">
        <v>0.3333</v>
      </c>
      <c r="F31" s="5">
        <v>0.1085</v>
      </c>
      <c r="G31" s="6">
        <v>0.1637</v>
      </c>
      <c r="H31" s="5">
        <v>0.5714</v>
      </c>
      <c r="I31" s="5">
        <v>0.031</v>
      </c>
      <c r="J31" s="6">
        <v>0.0588</v>
      </c>
      <c r="K31" s="5">
        <v>0.8846</v>
      </c>
      <c r="L31" s="5">
        <v>0.1783</v>
      </c>
      <c r="M31" s="7">
        <v>0.2968</v>
      </c>
    </row>
    <row r="32" spans="1:13">
      <c r="A32" s="8" t="s">
        <v>11</v>
      </c>
      <c r="B32" s="9">
        <v>0.1126</v>
      </c>
      <c r="C32" s="9">
        <v>0.6</v>
      </c>
      <c r="D32" s="10">
        <v>0.1897</v>
      </c>
      <c r="E32" s="9">
        <v>0.0541</v>
      </c>
      <c r="F32" s="9">
        <v>0.1455</v>
      </c>
      <c r="G32" s="10">
        <v>0.0788</v>
      </c>
      <c r="H32" s="9">
        <v>0.1548</v>
      </c>
      <c r="I32" s="9">
        <v>0.2364</v>
      </c>
      <c r="J32" s="10">
        <v>0.1871</v>
      </c>
      <c r="K32" s="9">
        <v>0.2136</v>
      </c>
      <c r="L32" s="9">
        <v>0.4</v>
      </c>
      <c r="M32" s="11">
        <v>0.2785</v>
      </c>
    </row>
    <row r="33" spans="1:13">
      <c r="A33" s="8" t="s">
        <v>12</v>
      </c>
      <c r="B33" s="9">
        <v>0.0829</v>
      </c>
      <c r="C33" s="9">
        <v>1</v>
      </c>
      <c r="D33" s="10">
        <v>0.1531</v>
      </c>
      <c r="E33" s="9">
        <v>0.1611</v>
      </c>
      <c r="F33" s="9">
        <v>0.3</v>
      </c>
      <c r="G33" s="10">
        <v>0.2096</v>
      </c>
      <c r="H33" s="9">
        <v>1</v>
      </c>
      <c r="I33" s="9">
        <v>0.1125</v>
      </c>
      <c r="J33" s="10">
        <v>0.2022</v>
      </c>
      <c r="K33" s="9">
        <v>0.9286</v>
      </c>
      <c r="L33" s="9">
        <v>0.1625</v>
      </c>
      <c r="M33" s="11">
        <v>0.2766</v>
      </c>
    </row>
    <row r="34" spans="1:13">
      <c r="A34" s="8" t="s">
        <v>13</v>
      </c>
      <c r="B34" s="9">
        <v>0.0803</v>
      </c>
      <c r="C34" s="9">
        <v>0.954</v>
      </c>
      <c r="D34" s="10">
        <v>0.1482</v>
      </c>
      <c r="E34" s="9">
        <v>0.0561</v>
      </c>
      <c r="F34" s="9">
        <v>0.1954</v>
      </c>
      <c r="G34" s="10">
        <v>0.0872</v>
      </c>
      <c r="H34" s="9">
        <v>0.8333</v>
      </c>
      <c r="I34" s="9">
        <v>0.3448</v>
      </c>
      <c r="J34" s="10">
        <v>0.4878</v>
      </c>
      <c r="K34" s="9">
        <v>0.8727</v>
      </c>
      <c r="L34" s="9">
        <v>0.5517</v>
      </c>
      <c r="M34" s="11">
        <v>0.6761</v>
      </c>
    </row>
    <row r="35" spans="1:13">
      <c r="A35" s="12" t="s">
        <v>14</v>
      </c>
      <c r="B35" s="13">
        <f t="shared" ref="B35:M35" si="3">AVERAGE(B31:B34)</f>
        <v>0.152525</v>
      </c>
      <c r="C35" s="13">
        <f t="shared" si="3"/>
        <v>0.853625</v>
      </c>
      <c r="D35" s="14">
        <f t="shared" si="3"/>
        <v>0.24315</v>
      </c>
      <c r="E35" s="13">
        <f t="shared" si="3"/>
        <v>0.15115</v>
      </c>
      <c r="F35" s="13">
        <f t="shared" si="3"/>
        <v>0.18735</v>
      </c>
      <c r="G35" s="14">
        <f t="shared" si="3"/>
        <v>0.134825</v>
      </c>
      <c r="H35" s="13">
        <f t="shared" si="3"/>
        <v>0.639875</v>
      </c>
      <c r="I35" s="13">
        <f t="shared" si="3"/>
        <v>0.181175</v>
      </c>
      <c r="J35" s="14">
        <f t="shared" si="3"/>
        <v>0.233975</v>
      </c>
      <c r="K35" s="13">
        <f t="shared" si="3"/>
        <v>0.724875</v>
      </c>
      <c r="L35" s="13">
        <f t="shared" si="3"/>
        <v>0.323125</v>
      </c>
      <c r="M35" s="15">
        <f t="shared" si="3"/>
        <v>0.382</v>
      </c>
    </row>
    <row r="37" ht="16.5" spans="1:13">
      <c r="A37" s="1" t="s">
        <v>24</v>
      </c>
      <c r="B37" s="1" t="s">
        <v>24</v>
      </c>
      <c r="C37" s="1" t="s">
        <v>24</v>
      </c>
      <c r="D37" s="1" t="s">
        <v>24</v>
      </c>
      <c r="E37" s="1" t="s">
        <v>24</v>
      </c>
      <c r="F37" s="1" t="s">
        <v>24</v>
      </c>
      <c r="G37" s="1" t="s">
        <v>24</v>
      </c>
      <c r="H37" s="1" t="s">
        <v>24</v>
      </c>
      <c r="I37" s="1" t="s">
        <v>24</v>
      </c>
      <c r="J37" s="1" t="s">
        <v>24</v>
      </c>
      <c r="K37" s="1" t="s">
        <v>24</v>
      </c>
      <c r="L37" s="1" t="s">
        <v>24</v>
      </c>
      <c r="M37" s="1" t="s">
        <v>24</v>
      </c>
    </row>
    <row r="38" spans="1:13">
      <c r="A38" s="2" t="s">
        <v>1</v>
      </c>
      <c r="B38" s="2" t="s">
        <v>2</v>
      </c>
      <c r="C38" s="2" t="s">
        <v>2</v>
      </c>
      <c r="D38" s="2" t="s">
        <v>2</v>
      </c>
      <c r="E38" s="2" t="s">
        <v>16</v>
      </c>
      <c r="F38" s="2" t="s">
        <v>16</v>
      </c>
      <c r="G38" s="2" t="s">
        <v>16</v>
      </c>
      <c r="H38" s="2" t="s">
        <v>17</v>
      </c>
      <c r="I38" s="2" t="s">
        <v>17</v>
      </c>
      <c r="J38" s="2" t="s">
        <v>17</v>
      </c>
      <c r="K38" s="2" t="s">
        <v>18</v>
      </c>
      <c r="L38" s="2" t="s">
        <v>18</v>
      </c>
      <c r="M38" s="2" t="s">
        <v>18</v>
      </c>
    </row>
    <row r="39" spans="1:13">
      <c r="A39" s="2" t="s">
        <v>6</v>
      </c>
      <c r="B39" s="2" t="s">
        <v>7</v>
      </c>
      <c r="C39" s="2" t="s">
        <v>8</v>
      </c>
      <c r="D39" s="3" t="s">
        <v>9</v>
      </c>
      <c r="E39" s="2" t="s">
        <v>7</v>
      </c>
      <c r="F39" s="2" t="s">
        <v>8</v>
      </c>
      <c r="G39" s="3" t="s">
        <v>9</v>
      </c>
      <c r="H39" s="2" t="s">
        <v>7</v>
      </c>
      <c r="I39" s="2" t="s">
        <v>8</v>
      </c>
      <c r="J39" s="3" t="s">
        <v>9</v>
      </c>
      <c r="K39" s="2" t="s">
        <v>7</v>
      </c>
      <c r="L39" s="2" t="s">
        <v>8</v>
      </c>
      <c r="M39" s="3" t="s">
        <v>9</v>
      </c>
    </row>
    <row r="40" spans="1:13">
      <c r="A40" s="4" t="s">
        <v>10</v>
      </c>
      <c r="B40" s="5">
        <v>0.3343</v>
      </c>
      <c r="C40" s="5">
        <v>0.8605</v>
      </c>
      <c r="D40" s="6">
        <v>0.4816</v>
      </c>
      <c r="E40" s="5">
        <v>0.2006</v>
      </c>
      <c r="F40" s="5">
        <v>0.5504</v>
      </c>
      <c r="G40" s="6">
        <v>0.294</v>
      </c>
      <c r="H40" s="5">
        <v>0.4348</v>
      </c>
      <c r="I40" s="5">
        <v>0.0775</v>
      </c>
      <c r="J40" s="6">
        <v>0.1316</v>
      </c>
      <c r="K40" s="5">
        <v>0.3559</v>
      </c>
      <c r="L40" s="5">
        <v>0.1628</v>
      </c>
      <c r="M40" s="7">
        <v>0.2234</v>
      </c>
    </row>
    <row r="41" spans="1:13">
      <c r="A41" s="8" t="s">
        <v>11</v>
      </c>
      <c r="B41" s="9">
        <v>0.1126</v>
      </c>
      <c r="C41" s="9">
        <v>0.6</v>
      </c>
      <c r="D41" s="10">
        <v>0.1897</v>
      </c>
      <c r="E41" s="9">
        <v>0.1278</v>
      </c>
      <c r="F41" s="9">
        <v>0.4182</v>
      </c>
      <c r="G41" s="10">
        <v>0.1957</v>
      </c>
      <c r="H41" s="9">
        <v>0.2133</v>
      </c>
      <c r="I41" s="9">
        <v>0.2909</v>
      </c>
      <c r="J41" s="10">
        <v>0.2462</v>
      </c>
      <c r="K41" s="9">
        <v>0.2653</v>
      </c>
      <c r="L41" s="9">
        <v>0.4727</v>
      </c>
      <c r="M41" s="11">
        <v>0.3399</v>
      </c>
    </row>
    <row r="42" spans="1:13">
      <c r="A42" s="8" t="s">
        <v>12</v>
      </c>
      <c r="B42" s="9">
        <v>0.0829</v>
      </c>
      <c r="C42" s="9">
        <v>1</v>
      </c>
      <c r="D42" s="10">
        <v>0.1531</v>
      </c>
      <c r="E42" s="9">
        <v>0.1155</v>
      </c>
      <c r="F42" s="9">
        <v>0.625</v>
      </c>
      <c r="G42" s="10">
        <v>0.1949</v>
      </c>
      <c r="H42" s="9">
        <v>0.3043</v>
      </c>
      <c r="I42" s="9">
        <v>0.0875</v>
      </c>
      <c r="J42" s="10">
        <v>0.1359</v>
      </c>
      <c r="K42" s="9">
        <v>0.3077</v>
      </c>
      <c r="L42" s="9">
        <v>0.05</v>
      </c>
      <c r="M42" s="11">
        <v>0.086</v>
      </c>
    </row>
    <row r="43" spans="1:13">
      <c r="A43" s="8" t="s">
        <v>13</v>
      </c>
      <c r="B43" s="9">
        <v>0.0803</v>
      </c>
      <c r="C43" s="9">
        <v>0.954</v>
      </c>
      <c r="D43" s="10">
        <v>0.1482</v>
      </c>
      <c r="E43" s="9">
        <v>0.0691</v>
      </c>
      <c r="F43" s="9">
        <v>0.4713</v>
      </c>
      <c r="G43" s="10">
        <v>0.1206</v>
      </c>
      <c r="H43" s="9">
        <v>0.7333</v>
      </c>
      <c r="I43" s="9">
        <v>0.3793</v>
      </c>
      <c r="J43" s="10">
        <v>0.5</v>
      </c>
      <c r="K43" s="9">
        <v>0.7945</v>
      </c>
      <c r="L43" s="9">
        <v>0.6667</v>
      </c>
      <c r="M43" s="11">
        <v>0.725</v>
      </c>
    </row>
    <row r="44" spans="1:13">
      <c r="A44" s="12" t="s">
        <v>14</v>
      </c>
      <c r="B44" s="13">
        <f t="shared" ref="B44:M44" si="4">AVERAGE(B40:B43)</f>
        <v>0.152525</v>
      </c>
      <c r="C44" s="13">
        <f t="shared" si="4"/>
        <v>0.853625</v>
      </c>
      <c r="D44" s="14">
        <f t="shared" si="4"/>
        <v>0.24315</v>
      </c>
      <c r="E44" s="13">
        <f t="shared" si="4"/>
        <v>0.12825</v>
      </c>
      <c r="F44" s="13">
        <f t="shared" si="4"/>
        <v>0.516225</v>
      </c>
      <c r="G44" s="14">
        <f t="shared" si="4"/>
        <v>0.2013</v>
      </c>
      <c r="H44" s="13">
        <f t="shared" si="4"/>
        <v>0.421425</v>
      </c>
      <c r="I44" s="13">
        <f t="shared" si="4"/>
        <v>0.2088</v>
      </c>
      <c r="J44" s="14">
        <f t="shared" si="4"/>
        <v>0.253425</v>
      </c>
      <c r="K44" s="13">
        <f t="shared" si="4"/>
        <v>0.43085</v>
      </c>
      <c r="L44" s="13">
        <f t="shared" si="4"/>
        <v>0.33805</v>
      </c>
      <c r="M44" s="15">
        <f t="shared" si="4"/>
        <v>0.343575</v>
      </c>
    </row>
    <row r="46" ht="16.5" spans="1:13">
      <c r="A46" s="1" t="s">
        <v>25</v>
      </c>
      <c r="B46" s="1" t="s">
        <v>25</v>
      </c>
      <c r="C46" s="1" t="s">
        <v>25</v>
      </c>
      <c r="D46" s="1" t="s">
        <v>25</v>
      </c>
      <c r="E46" s="1" t="s">
        <v>25</v>
      </c>
      <c r="F46" s="1" t="s">
        <v>25</v>
      </c>
      <c r="G46" s="1" t="s">
        <v>25</v>
      </c>
      <c r="H46" s="1" t="s">
        <v>25</v>
      </c>
      <c r="I46" s="1" t="s">
        <v>25</v>
      </c>
      <c r="J46" s="1" t="s">
        <v>25</v>
      </c>
      <c r="K46" s="1" t="s">
        <v>25</v>
      </c>
      <c r="L46" s="1" t="s">
        <v>25</v>
      </c>
      <c r="M46" s="1" t="s">
        <v>25</v>
      </c>
    </row>
    <row r="47" spans="1:13">
      <c r="A47" s="2" t="s">
        <v>1</v>
      </c>
      <c r="B47" s="2" t="s">
        <v>2</v>
      </c>
      <c r="C47" s="2" t="s">
        <v>2</v>
      </c>
      <c r="D47" s="2" t="s">
        <v>2</v>
      </c>
      <c r="E47" s="2" t="s">
        <v>20</v>
      </c>
      <c r="F47" s="2" t="s">
        <v>20</v>
      </c>
      <c r="G47" s="2" t="s">
        <v>20</v>
      </c>
      <c r="H47" s="2" t="s">
        <v>21</v>
      </c>
      <c r="I47" s="2" t="s">
        <v>21</v>
      </c>
      <c r="J47" s="2" t="s">
        <v>21</v>
      </c>
      <c r="K47" s="2" t="s">
        <v>22</v>
      </c>
      <c r="L47" s="2" t="s">
        <v>22</v>
      </c>
      <c r="M47" s="2" t="s">
        <v>22</v>
      </c>
    </row>
    <row r="48" spans="1:13">
      <c r="A48" s="2" t="s">
        <v>6</v>
      </c>
      <c r="B48" s="2" t="s">
        <v>7</v>
      </c>
      <c r="C48" s="2" t="s">
        <v>8</v>
      </c>
      <c r="D48" s="3" t="s">
        <v>9</v>
      </c>
      <c r="E48" s="2" t="s">
        <v>7</v>
      </c>
      <c r="F48" s="2" t="s">
        <v>8</v>
      </c>
      <c r="G48" s="3" t="s">
        <v>9</v>
      </c>
      <c r="H48" s="2" t="s">
        <v>7</v>
      </c>
      <c r="I48" s="2" t="s">
        <v>8</v>
      </c>
      <c r="J48" s="3" t="s">
        <v>9</v>
      </c>
      <c r="K48" s="2" t="s">
        <v>7</v>
      </c>
      <c r="L48" s="2" t="s">
        <v>8</v>
      </c>
      <c r="M48" s="3" t="s">
        <v>9</v>
      </c>
    </row>
    <row r="49" spans="1:13">
      <c r="A49" s="4" t="s">
        <v>10</v>
      </c>
      <c r="B49" s="5">
        <v>0.3343</v>
      </c>
      <c r="C49" s="5">
        <v>0.8605</v>
      </c>
      <c r="D49" s="6">
        <v>0.4816</v>
      </c>
      <c r="E49" s="5">
        <v>0.2889</v>
      </c>
      <c r="F49" s="5">
        <v>0.2016</v>
      </c>
      <c r="G49" s="6">
        <v>0.2374</v>
      </c>
      <c r="H49" s="5">
        <v>0.5</v>
      </c>
      <c r="I49" s="5">
        <v>0.0388</v>
      </c>
      <c r="J49" s="6">
        <v>0.0719</v>
      </c>
      <c r="K49" s="5">
        <v>0.7273</v>
      </c>
      <c r="L49" s="5">
        <v>0.062</v>
      </c>
      <c r="M49" s="7">
        <v>0.1143</v>
      </c>
    </row>
    <row r="50" spans="1:13">
      <c r="A50" s="8" t="s">
        <v>11</v>
      </c>
      <c r="B50" s="9">
        <v>0.1126</v>
      </c>
      <c r="C50" s="9">
        <v>0.6</v>
      </c>
      <c r="D50" s="10">
        <v>0.1897</v>
      </c>
      <c r="E50" s="9">
        <v>0.1059</v>
      </c>
      <c r="F50" s="9">
        <v>0.3273</v>
      </c>
      <c r="G50" s="10">
        <v>0.16</v>
      </c>
      <c r="H50" s="9">
        <v>0.1327</v>
      </c>
      <c r="I50" s="9">
        <v>0.2364</v>
      </c>
      <c r="J50" s="10">
        <v>0.1699</v>
      </c>
      <c r="K50" s="9">
        <v>0.208</v>
      </c>
      <c r="L50" s="9">
        <v>0.4727</v>
      </c>
      <c r="M50" s="11">
        <v>0.2889</v>
      </c>
    </row>
    <row r="51" spans="1:13">
      <c r="A51" s="8" t="s">
        <v>12</v>
      </c>
      <c r="B51" s="9">
        <v>0.0829</v>
      </c>
      <c r="C51" s="9">
        <v>1</v>
      </c>
      <c r="D51" s="10">
        <v>0.1531</v>
      </c>
      <c r="E51" s="9">
        <v>0.2174</v>
      </c>
      <c r="F51" s="9">
        <v>0.1316</v>
      </c>
      <c r="G51" s="10">
        <v>0.1639</v>
      </c>
      <c r="H51" s="9">
        <v>1</v>
      </c>
      <c r="I51" s="9">
        <v>0.0395</v>
      </c>
      <c r="J51" s="10">
        <v>0.0759</v>
      </c>
      <c r="K51" s="9">
        <v>0.2373</v>
      </c>
      <c r="L51" s="9">
        <v>0.1842</v>
      </c>
      <c r="M51" s="11">
        <v>0.2074</v>
      </c>
    </row>
    <row r="52" spans="1:13">
      <c r="A52" s="8" t="s">
        <v>13</v>
      </c>
      <c r="B52" s="9">
        <v>0.0803</v>
      </c>
      <c r="C52" s="9">
        <v>0.954</v>
      </c>
      <c r="D52" s="10">
        <v>0.1482</v>
      </c>
      <c r="E52" s="9">
        <v>0.099</v>
      </c>
      <c r="F52" s="9">
        <v>0.2184</v>
      </c>
      <c r="G52" s="10">
        <v>0.1362</v>
      </c>
      <c r="H52" s="9">
        <v>0.7619</v>
      </c>
      <c r="I52" s="9">
        <v>0.3678</v>
      </c>
      <c r="J52" s="10">
        <v>0.4961</v>
      </c>
      <c r="K52" s="9">
        <v>0.75</v>
      </c>
      <c r="L52" s="9">
        <v>0.4828</v>
      </c>
      <c r="M52" s="11">
        <v>0.5874</v>
      </c>
    </row>
    <row r="53" spans="1:13">
      <c r="A53" s="12" t="s">
        <v>14</v>
      </c>
      <c r="B53" s="13">
        <f>AVERAGE(B49:B52)</f>
        <v>0.152525</v>
      </c>
      <c r="C53" s="13">
        <f>AVERAGE(C49:C52)</f>
        <v>0.853625</v>
      </c>
      <c r="D53" s="14">
        <f>AVERAGE(D49:D52)</f>
        <v>0.24315</v>
      </c>
      <c r="E53" s="13">
        <f t="shared" ref="B53:M53" si="5">AVERAGE(E49:E52)</f>
        <v>0.1778</v>
      </c>
      <c r="F53" s="13">
        <f t="shared" si="5"/>
        <v>0.219725</v>
      </c>
      <c r="G53" s="14">
        <f t="shared" si="5"/>
        <v>0.174375</v>
      </c>
      <c r="H53" s="13">
        <f t="shared" si="5"/>
        <v>0.59865</v>
      </c>
      <c r="I53" s="13">
        <f t="shared" si="5"/>
        <v>0.170625</v>
      </c>
      <c r="J53" s="14">
        <f t="shared" si="5"/>
        <v>0.20345</v>
      </c>
      <c r="K53" s="13">
        <f t="shared" si="5"/>
        <v>0.48065</v>
      </c>
      <c r="L53" s="13">
        <f t="shared" si="5"/>
        <v>0.300425</v>
      </c>
      <c r="M53" s="15">
        <f t="shared" si="5"/>
        <v>0.2995</v>
      </c>
    </row>
  </sheetData>
  <mergeCells count="36">
    <mergeCell ref="A1:M1"/>
    <mergeCell ref="B2:D2"/>
    <mergeCell ref="E2:G2"/>
    <mergeCell ref="H2:J2"/>
    <mergeCell ref="K2:M2"/>
    <mergeCell ref="A10:M10"/>
    <mergeCell ref="B11:D11"/>
    <mergeCell ref="E11:G11"/>
    <mergeCell ref="H11:J11"/>
    <mergeCell ref="K11:M11"/>
    <mergeCell ref="A19:M19"/>
    <mergeCell ref="B20:D20"/>
    <mergeCell ref="E20:G20"/>
    <mergeCell ref="H20:J20"/>
    <mergeCell ref="K20:M20"/>
    <mergeCell ref="A28:M28"/>
    <mergeCell ref="B29:D29"/>
    <mergeCell ref="E29:G29"/>
    <mergeCell ref="H29:J29"/>
    <mergeCell ref="K29:M29"/>
    <mergeCell ref="A37:M37"/>
    <mergeCell ref="B38:D38"/>
    <mergeCell ref="E38:G38"/>
    <mergeCell ref="H38:J38"/>
    <mergeCell ref="K38:M38"/>
    <mergeCell ref="A46:M46"/>
    <mergeCell ref="B47:D47"/>
    <mergeCell ref="E47:G47"/>
    <mergeCell ref="H47:J47"/>
    <mergeCell ref="K47:M47"/>
    <mergeCell ref="A2:A3"/>
    <mergeCell ref="A11:A12"/>
    <mergeCell ref="A20:A21"/>
    <mergeCell ref="A29:A30"/>
    <mergeCell ref="A38:A39"/>
    <mergeCell ref="A47:A48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F1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WPS_1601775120</cp:lastModifiedBy>
  <dcterms:created xsi:type="dcterms:W3CDTF">2026-07-23T13:03:29Z</dcterms:created>
  <dcterms:modified xsi:type="dcterms:W3CDTF">2026-07-23T13:08:18Z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FB346F778D1E41A295F479312FCAE617_12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