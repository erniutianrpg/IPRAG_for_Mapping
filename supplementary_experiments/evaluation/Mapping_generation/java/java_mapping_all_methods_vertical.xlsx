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8350" windowHeight="8080"/>
  </bookViews>
  <sheets>
    <sheet name="F1 Result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<sst xmlns="http://schemas.openxmlformats.org/spreadsheetml/2006/main" count="156" uniqueCount="24">
  <si>
    <t>Java DM Mapping Metrics GLM</t>
  </si>
  <si>
    <t>Project</t>
  </si>
  <si>
    <t>TFIDF</t>
  </si>
  <si>
    <t>GLM TF-IDF</t>
  </si>
  <si>
    <t>GLM LLM-S</t>
  </si>
  <si>
    <t>GLM LLM-A</t>
  </si>
  <si>
    <t>GLM IP-RAG</t>
  </si>
  <si>
    <t/>
  </si>
  <si>
    <t>precision</t>
  </si>
  <si>
    <t>recall</t>
  </si>
  <si>
    <t>f1</t>
  </si>
  <si>
    <t>bigbluebutton</t>
  </si>
  <si>
    <t>jabref</t>
  </si>
  <si>
    <t>mediastore</t>
  </si>
  <si>
    <t>teammates</t>
  </si>
  <si>
    <t>teastore</t>
  </si>
  <si>
    <t>Mean</t>
  </si>
  <si>
    <t>Java DM Mapping Metrics QWEN</t>
  </si>
  <si>
    <t>Qwen LLM-S</t>
  </si>
  <si>
    <t>Qwen LLM-A</t>
  </si>
  <si>
    <t>Qwen IP-RAG</t>
  </si>
  <si>
    <t>Java UM Mapping Metrics GLM</t>
  </si>
  <si>
    <t>Java UM Mapping Metrics</t>
  </si>
  <si>
    <t>Java UM Mapping Metrics QWEN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</si>
</sst>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00"/>
  </numFmts>
  <fonts count="26">
    <font>
      <sz val="11"/>
      <name val="Carlito"/>
      <charset val="134"/>
    </font>
    <font>
      <b/>
      <sz val="11"/>
      <color rgb="FFFF0000"/>
      <name val="Carlito"/>
      <charset val="134"/>
    </font>
    <font>
      <b/>
      <sz val="13"/>
      <color rgb="FFFFFFFF"/>
      <name val="Carlito"/>
      <charset val="134"/>
    </font>
    <font>
      <b/>
      <sz val="13"/>
      <color rgb="FFFF0000"/>
      <name val="Carlito"/>
      <charset val="134"/>
    </font>
    <font>
      <b/>
      <sz val="11"/>
      <color rgb="FF17365D"/>
      <name val="Carlito"/>
      <charset val="134"/>
    </font>
    <font>
      <b/>
      <sz val="11"/>
      <name val="Carlito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1F4E79"/>
        <bgColor indexed="64"/>
      </patternFill>
    </fill>
    <fill>
      <patternFill patternType="solid">
        <fgColor rgb="FFD9EAF7"/>
        <bgColor indexed="64"/>
      </patternFill>
    </fill>
    <fill>
      <patternFill patternType="solid">
        <fgColor rgb="FFE2F0D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0">
    <border>
      <left/>
      <right/>
      <top/>
      <bottom/>
      <diagonal/>
    </border>
    <border>
      <left style="thin">
        <color rgb="FFD9E2EC"/>
      </left>
      <right style="thin">
        <color rgb="FFD9E2EC"/>
      </right>
      <top/>
      <bottom style="thin">
        <color rgb="FFD9E2EC"/>
      </bottom>
      <diagonal/>
    </border>
    <border>
      <left style="thin">
        <color rgb="FFD9E2EC"/>
      </left>
      <right style="thin">
        <color rgb="FFD9E2EC"/>
      </right>
      <top style="thin">
        <color rgb="FFD9E2EC"/>
      </top>
      <bottom style="thin">
        <color rgb="FFD9E2EC"/>
      </bottom>
      <diagonal/>
    </border>
    <border>
      <left/>
      <right style="thin">
        <color rgb="FFE7E6E6"/>
      </right>
      <top/>
      <bottom style="thin">
        <color rgb="FFE7E6E6"/>
      </bottom>
      <diagonal/>
    </border>
    <border>
      <left style="thin">
        <color rgb="FFE7E6E6"/>
      </left>
      <right style="thin">
        <color rgb="FFE7E6E6"/>
      </right>
      <top/>
      <bottom style="thin">
        <color rgb="FFE7E6E6"/>
      </bottom>
      <diagonal/>
    </border>
    <border>
      <left/>
      <right style="thin">
        <color rgb="FFE7E6E6"/>
      </right>
      <top style="thin">
        <color rgb="FFE7E6E6"/>
      </top>
      <bottom style="thin">
        <color rgb="FFE7E6E6"/>
      </bottom>
      <diagonal/>
    </border>
    <border>
      <left style="thin">
        <color rgb="FFE7E6E6"/>
      </left>
      <right style="thin">
        <color rgb="FFE7E6E6"/>
      </right>
      <top style="thin">
        <color rgb="FFE7E6E6"/>
      </top>
      <bottom style="thin">
        <color rgb="FFE7E6E6"/>
      </bottom>
      <diagonal/>
    </border>
    <border>
      <left/>
      <right style="thin">
        <color rgb="FFD9E2EC"/>
      </right>
      <top style="thin">
        <color rgb="FFE7E6E6"/>
      </top>
      <bottom/>
      <diagonal/>
    </border>
    <border>
      <left style="thin">
        <color rgb="FFD9E2EC"/>
      </left>
      <right style="thin">
        <color rgb="FFD9E2EC"/>
      </right>
      <top style="thin">
        <color rgb="FFE7E6E6"/>
      </top>
      <bottom/>
      <diagonal/>
    </border>
    <border>
      <left style="thin">
        <color rgb="FFE7E6E6"/>
      </left>
      <right/>
      <top/>
      <bottom style="thin">
        <color rgb="FFE7E6E6"/>
      </bottom>
      <diagonal/>
    </border>
    <border>
      <left style="thin">
        <color rgb="FFE7E6E6"/>
      </left>
      <right/>
      <top style="thin">
        <color rgb="FFE7E6E6"/>
      </top>
      <bottom style="thin">
        <color rgb="FFE7E6E6"/>
      </bottom>
      <diagonal/>
    </border>
    <border>
      <left style="thin">
        <color rgb="FFD9E2EC"/>
      </left>
      <right style="thin">
        <color rgb="FFE7E6E6"/>
      </right>
      <top style="thin">
        <color rgb="FFE7E6E6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6" fillId="0" borderId="0">
      <alignment vertical="center"/>
    </xf>
    <xf numFmtId="43" fontId="6" fillId="0" borderId="0" applyFont="0" applyFill="0" applyBorder="0" applyAlignment="0" applyProtection="0">
      <alignment vertical="center"/>
    </xf>
    <xf numFmtId="44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2" fontId="6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6" fillId="5" borderId="12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13" applyNumberFormat="0" applyFill="0" applyAlignment="0" applyProtection="0">
      <alignment vertical="center"/>
    </xf>
    <xf numFmtId="0" fontId="13" fillId="0" borderId="13" applyNumberFormat="0" applyFill="0" applyAlignment="0" applyProtection="0">
      <alignment vertical="center"/>
    </xf>
    <xf numFmtId="0" fontId="14" fillId="0" borderId="14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6" borderId="15" applyNumberFormat="0" applyAlignment="0" applyProtection="0">
      <alignment vertical="center"/>
    </xf>
    <xf numFmtId="0" fontId="16" fillId="7" borderId="16" applyNumberFormat="0" applyAlignment="0" applyProtection="0">
      <alignment vertical="center"/>
    </xf>
    <xf numFmtId="0" fontId="17" fillId="7" borderId="15" applyNumberFormat="0" applyAlignment="0" applyProtection="0">
      <alignment vertical="center"/>
    </xf>
    <xf numFmtId="0" fontId="18" fillId="8" borderId="17" applyNumberFormat="0" applyAlignment="0" applyProtection="0">
      <alignment vertical="center"/>
    </xf>
    <xf numFmtId="0" fontId="19" fillId="0" borderId="18" applyNumberFormat="0" applyFill="0" applyAlignment="0" applyProtection="0">
      <alignment vertical="center"/>
    </xf>
    <xf numFmtId="0" fontId="20" fillId="0" borderId="19" applyNumberFormat="0" applyFill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5" fillId="34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0" fillId="0" borderId="0"/>
  </cellStyleXfs>
  <cellXfs count="23">
    <xf numFmtId="0" fontId="0" fillId="0" borderId="0" xfId="49"/>
    <xf numFmtId="0" fontId="1" fillId="0" borderId="0" xfId="49" applyFont="1"/>
    <xf numFmtId="0" fontId="2" fillId="2" borderId="0" xfId="49" applyNumberFormat="1" applyFont="1" applyFill="1" applyAlignment="1">
      <alignment horizontal="center"/>
    </xf>
    <xf numFmtId="0" fontId="3" fillId="2" borderId="0" xfId="49" applyNumberFormat="1" applyFont="1" applyFill="1" applyAlignment="1">
      <alignment horizontal="center"/>
    </xf>
    <xf numFmtId="0" fontId="4" fillId="3" borderId="1" xfId="49" applyNumberFormat="1" applyFont="1" applyFill="1" applyBorder="1" applyAlignment="1">
      <alignment horizontal="center" vertical="center"/>
    </xf>
    <xf numFmtId="0" fontId="1" fillId="3" borderId="1" xfId="49" applyNumberFormat="1" applyFont="1" applyFill="1" applyBorder="1" applyAlignment="1">
      <alignment horizontal="center" vertical="center"/>
    </xf>
    <xf numFmtId="0" fontId="4" fillId="3" borderId="2" xfId="49" applyNumberFormat="1" applyFont="1" applyFill="1" applyBorder="1" applyAlignment="1">
      <alignment horizontal="center" vertical="center"/>
    </xf>
    <xf numFmtId="0" fontId="1" fillId="3" borderId="2" xfId="49" applyNumberFormat="1" applyFont="1" applyFill="1" applyBorder="1" applyAlignment="1">
      <alignment horizontal="center" vertical="center"/>
    </xf>
    <xf numFmtId="0" fontId="0" fillId="0" borderId="3" xfId="49" applyNumberFormat="1" applyFont="1" applyFill="1" applyBorder="1" applyAlignment="1">
      <alignment vertical="center"/>
    </xf>
    <xf numFmtId="176" fontId="0" fillId="0" borderId="4" xfId="49" applyNumberFormat="1" applyFont="1" applyFill="1" applyBorder="1" applyAlignment="1">
      <alignment vertical="center"/>
    </xf>
    <xf numFmtId="176" fontId="1" fillId="0" borderId="4" xfId="49" applyNumberFormat="1" applyFont="1" applyFill="1" applyBorder="1" applyAlignment="1">
      <alignment vertical="center"/>
    </xf>
    <xf numFmtId="0" fontId="0" fillId="0" borderId="5" xfId="49" applyNumberFormat="1" applyFont="1" applyFill="1" applyBorder="1" applyAlignment="1">
      <alignment vertical="center"/>
    </xf>
    <xf numFmtId="176" fontId="0" fillId="0" borderId="6" xfId="49" applyNumberFormat="1" applyFont="1" applyFill="1" applyBorder="1" applyAlignment="1">
      <alignment vertical="center"/>
    </xf>
    <xf numFmtId="176" fontId="1" fillId="0" borderId="6" xfId="49" applyNumberFormat="1" applyFont="1" applyFill="1" applyBorder="1" applyAlignment="1">
      <alignment vertical="center"/>
    </xf>
    <xf numFmtId="0" fontId="5" fillId="4" borderId="7" xfId="49" applyNumberFormat="1" applyFont="1" applyFill="1" applyBorder="1" applyAlignment="1">
      <alignment vertical="center"/>
    </xf>
    <xf numFmtId="176" fontId="5" fillId="4" borderId="8" xfId="49" applyNumberFormat="1" applyFont="1" applyFill="1" applyBorder="1" applyAlignment="1">
      <alignment vertical="center"/>
    </xf>
    <xf numFmtId="176" fontId="1" fillId="4" borderId="8" xfId="49" applyNumberFormat="1" applyFont="1" applyFill="1" applyBorder="1" applyAlignment="1">
      <alignment vertical="center"/>
    </xf>
    <xf numFmtId="176" fontId="1" fillId="0" borderId="9" xfId="49" applyNumberFormat="1" applyFont="1" applyFill="1" applyBorder="1" applyAlignment="1">
      <alignment vertical="center"/>
    </xf>
    <xf numFmtId="176" fontId="1" fillId="0" borderId="10" xfId="49" applyNumberFormat="1" applyFont="1" applyFill="1" applyBorder="1" applyAlignment="1">
      <alignment vertical="center"/>
    </xf>
    <xf numFmtId="176" fontId="1" fillId="4" borderId="11" xfId="49" applyNumberFormat="1" applyFont="1" applyFill="1" applyBorder="1" applyAlignment="1">
      <alignment vertical="center"/>
    </xf>
    <xf numFmtId="0" fontId="2" fillId="2" borderId="0" xfId="49" applyNumberFormat="1" applyFont="1" applyFill="1" applyBorder="1" applyAlignment="1">
      <alignment horizontal="center"/>
    </xf>
    <xf numFmtId="0" fontId="3" fillId="2" borderId="0" xfId="49" applyNumberFormat="1" applyFont="1" applyFill="1" applyBorder="1" applyAlignment="1">
      <alignment horizontal="center"/>
    </xf>
    <xf numFmtId="176" fontId="0" fillId="4" borderId="8" xfId="49" applyNumberFormat="1" applyFont="1" applyFill="1" applyBorder="1" applyAlignment="1">
      <alignment vertical="center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39"/>
  <sheetViews>
    <sheetView showGridLines="0" tabSelected="1" workbookViewId="0">
      <selection activeCell="O9" sqref="O9"/>
    </sheetView>
  </sheetViews>
  <sheetFormatPr defaultColWidth="9" defaultRowHeight="14"/>
  <cols>
    <col min="1" max="1" width="12.3333333333333" customWidth="1"/>
    <col min="2" max="2" width="9.5" customWidth="1"/>
    <col min="3" max="3" width="10" customWidth="1"/>
    <col min="4" max="4" width="8.58333333333333" style="1" customWidth="1"/>
    <col min="5" max="5" width="10.0833333333333" customWidth="1"/>
    <col min="6" max="6" width="9.66666666666667" customWidth="1"/>
    <col min="7" max="7" width="8.66666666666667" style="1" customWidth="1"/>
    <col min="8" max="9" width="8.58333333333333" customWidth="1"/>
    <col min="10" max="10" width="7.91666666666667" style="1" customWidth="1"/>
    <col min="11" max="11" width="9" customWidth="1"/>
    <col min="12" max="12" width="10.3333333333333" customWidth="1"/>
    <col min="13" max="13" width="10.0833333333333" style="1" customWidth="1"/>
  </cols>
  <sheetData>
    <row r="1" ht="15.6" customHeight="1" spans="1:13">
      <c r="A1" s="2" t="s">
        <v>0</v>
      </c>
      <c r="B1" s="2"/>
      <c r="C1" s="2"/>
      <c r="D1" s="3"/>
      <c r="E1" s="2"/>
      <c r="F1" s="2"/>
      <c r="G1" s="3"/>
      <c r="H1" s="2"/>
      <c r="I1" s="2"/>
      <c r="J1" s="3"/>
      <c r="K1" s="2"/>
      <c r="L1" s="2"/>
      <c r="M1" s="3"/>
    </row>
    <row r="2" spans="1:13">
      <c r="A2" s="4" t="s">
        <v>1</v>
      </c>
      <c r="B2" s="4" t="s">
        <v>2</v>
      </c>
      <c r="C2" s="4" t="s">
        <v>3</v>
      </c>
      <c r="D2" s="5" t="s">
        <v>3</v>
      </c>
      <c r="E2" s="4" t="s">
        <v>4</v>
      </c>
      <c r="F2" s="4" t="s">
        <v>4</v>
      </c>
      <c r="G2" s="5" t="s">
        <v>4</v>
      </c>
      <c r="H2" s="4" t="s">
        <v>5</v>
      </c>
      <c r="I2" s="4" t="s">
        <v>5</v>
      </c>
      <c r="J2" s="5" t="s">
        <v>5</v>
      </c>
      <c r="K2" s="4" t="s">
        <v>6</v>
      </c>
      <c r="L2" s="4" t="s">
        <v>6</v>
      </c>
      <c r="M2" s="5" t="s">
        <v>6</v>
      </c>
    </row>
    <row r="3" spans="1:13">
      <c r="A3" s="6" t="s">
        <v>7</v>
      </c>
      <c r="B3" s="6" t="s">
        <v>8</v>
      </c>
      <c r="C3" s="6" t="s">
        <v>9</v>
      </c>
      <c r="D3" s="7" t="s">
        <v>10</v>
      </c>
      <c r="E3" s="6" t="s">
        <v>8</v>
      </c>
      <c r="F3" s="6" t="s">
        <v>9</v>
      </c>
      <c r="G3" s="7" t="s">
        <v>10</v>
      </c>
      <c r="H3" s="6" t="s">
        <v>8</v>
      </c>
      <c r="I3" s="6" t="s">
        <v>9</v>
      </c>
      <c r="J3" s="7" t="s">
        <v>10</v>
      </c>
      <c r="K3" s="6" t="s">
        <v>8</v>
      </c>
      <c r="L3" s="6" t="s">
        <v>9</v>
      </c>
      <c r="M3" s="7" t="s">
        <v>10</v>
      </c>
    </row>
    <row r="4" spans="1:13">
      <c r="A4" s="8" t="s">
        <v>11</v>
      </c>
      <c r="B4" s="9">
        <v>0.7866</v>
      </c>
      <c r="C4" s="9">
        <v>0.9261</v>
      </c>
      <c r="D4" s="10">
        <v>0.8507</v>
      </c>
      <c r="E4" s="9">
        <v>0.5698</v>
      </c>
      <c r="F4" s="9">
        <v>0.2681</v>
      </c>
      <c r="G4" s="10">
        <v>0.3646</v>
      </c>
      <c r="H4" s="9">
        <v>0.6836</v>
      </c>
      <c r="I4" s="9">
        <v>0.7271</v>
      </c>
      <c r="J4" s="10">
        <v>0.7047</v>
      </c>
      <c r="K4" s="9">
        <v>0.7336</v>
      </c>
      <c r="L4" s="9">
        <v>0.852</v>
      </c>
      <c r="M4" s="10">
        <v>0.7884</v>
      </c>
    </row>
    <row r="5" spans="1:13">
      <c r="A5" s="11" t="s">
        <v>12</v>
      </c>
      <c r="B5" s="12">
        <v>0.8501</v>
      </c>
      <c r="C5" s="12">
        <v>0.8547</v>
      </c>
      <c r="D5" s="13">
        <v>0.8524</v>
      </c>
      <c r="E5" s="12">
        <v>0.9383</v>
      </c>
      <c r="F5" s="12">
        <v>0.8184</v>
      </c>
      <c r="G5" s="13">
        <v>0.8743</v>
      </c>
      <c r="H5" s="12">
        <v>0.8666</v>
      </c>
      <c r="I5" s="12">
        <v>0.9138</v>
      </c>
      <c r="J5" s="13">
        <v>0.8896</v>
      </c>
      <c r="K5" s="12">
        <v>0.8913</v>
      </c>
      <c r="L5" s="12">
        <v>0.944</v>
      </c>
      <c r="M5" s="13">
        <v>0.9169</v>
      </c>
    </row>
    <row r="6" spans="1:13">
      <c r="A6" s="11" t="s">
        <v>13</v>
      </c>
      <c r="B6" s="12">
        <v>0.8945</v>
      </c>
      <c r="C6" s="12">
        <v>0.7339</v>
      </c>
      <c r="D6" s="13">
        <v>0.8063</v>
      </c>
      <c r="E6" s="12">
        <v>0.97</v>
      </c>
      <c r="F6" s="12">
        <v>0.7447</v>
      </c>
      <c r="G6" s="13">
        <v>0.8425</v>
      </c>
      <c r="H6" s="12">
        <v>0.9221</v>
      </c>
      <c r="I6" s="12">
        <v>1</v>
      </c>
      <c r="J6" s="13">
        <v>0.9595</v>
      </c>
      <c r="K6" s="12">
        <v>0.9436</v>
      </c>
      <c r="L6" s="12">
        <v>0.9909</v>
      </c>
      <c r="M6" s="13">
        <v>0.9667</v>
      </c>
    </row>
    <row r="7" spans="1:13">
      <c r="A7" s="11" t="s">
        <v>14</v>
      </c>
      <c r="B7" s="12">
        <v>0.8212</v>
      </c>
      <c r="C7" s="12">
        <v>0.8671</v>
      </c>
      <c r="D7" s="13">
        <v>0.8435</v>
      </c>
      <c r="E7" s="12">
        <v>0.9467</v>
      </c>
      <c r="F7" s="12">
        <v>0.6848</v>
      </c>
      <c r="G7" s="13">
        <v>0.7947</v>
      </c>
      <c r="H7" s="12">
        <v>0.701</v>
      </c>
      <c r="I7" s="12">
        <v>0.7646</v>
      </c>
      <c r="J7" s="13">
        <v>0.7314</v>
      </c>
      <c r="K7" s="12">
        <v>0.7956</v>
      </c>
      <c r="L7" s="12">
        <v>0.8488</v>
      </c>
      <c r="M7" s="13">
        <v>0.8213</v>
      </c>
    </row>
    <row r="8" spans="1:13">
      <c r="A8" s="11" t="s">
        <v>15</v>
      </c>
      <c r="B8" s="12">
        <v>0.9231</v>
      </c>
      <c r="C8" s="12">
        <v>0.9783</v>
      </c>
      <c r="D8" s="13">
        <v>0.9499</v>
      </c>
      <c r="E8" s="12">
        <v>0.9779</v>
      </c>
      <c r="F8" s="12">
        <v>0.9465</v>
      </c>
      <c r="G8" s="13">
        <v>0.9619</v>
      </c>
      <c r="H8" s="12">
        <v>0.9354</v>
      </c>
      <c r="I8" s="12">
        <v>0.9637</v>
      </c>
      <c r="J8" s="13">
        <v>0.9493</v>
      </c>
      <c r="K8" s="12">
        <v>0.9419</v>
      </c>
      <c r="L8" s="12">
        <v>0.9747</v>
      </c>
      <c r="M8" s="13">
        <v>0.958</v>
      </c>
    </row>
    <row r="9" spans="1:13">
      <c r="A9" s="14" t="s">
        <v>16</v>
      </c>
      <c r="B9" s="15">
        <f t="shared" ref="B9:Y9" si="0">AVERAGE(B4:B8)</f>
        <v>0.8551</v>
      </c>
      <c r="C9" s="15">
        <f t="shared" si="0"/>
        <v>0.87202</v>
      </c>
      <c r="D9" s="16">
        <f t="shared" si="0"/>
        <v>0.86056</v>
      </c>
      <c r="E9" s="15">
        <f t="shared" si="0"/>
        <v>0.88054</v>
      </c>
      <c r="F9" s="15">
        <f t="shared" si="0"/>
        <v>0.6925</v>
      </c>
      <c r="G9" s="16">
        <f t="shared" si="0"/>
        <v>0.7676</v>
      </c>
      <c r="H9" s="15">
        <f t="shared" si="0"/>
        <v>0.82174</v>
      </c>
      <c r="I9" s="15">
        <f t="shared" si="0"/>
        <v>0.87384</v>
      </c>
      <c r="J9" s="16">
        <f t="shared" si="0"/>
        <v>0.8469</v>
      </c>
      <c r="K9" s="15">
        <f t="shared" si="0"/>
        <v>0.8612</v>
      </c>
      <c r="L9" s="15">
        <f t="shared" si="0"/>
        <v>0.92208</v>
      </c>
      <c r="M9" s="16">
        <f t="shared" si="0"/>
        <v>0.89026</v>
      </c>
    </row>
    <row r="11" ht="16.5" spans="1:13">
      <c r="A11" s="2" t="s">
        <v>17</v>
      </c>
      <c r="B11" s="2"/>
      <c r="C11" s="2"/>
      <c r="D11" s="3"/>
      <c r="E11" s="2"/>
      <c r="F11" s="2"/>
      <c r="G11" s="3"/>
      <c r="H11" s="2"/>
      <c r="I11" s="2"/>
      <c r="J11" s="3"/>
      <c r="K11" s="2"/>
      <c r="L11" s="2"/>
      <c r="M11" s="3"/>
    </row>
    <row r="12" spans="1:13">
      <c r="A12" s="4" t="s">
        <v>1</v>
      </c>
      <c r="B12" s="4" t="s">
        <v>2</v>
      </c>
      <c r="C12" s="4" t="s">
        <v>3</v>
      </c>
      <c r="D12" s="5" t="s">
        <v>3</v>
      </c>
      <c r="E12" s="4" t="s">
        <v>18</v>
      </c>
      <c r="F12" s="4" t="s">
        <v>18</v>
      </c>
      <c r="G12" s="5" t="s">
        <v>18</v>
      </c>
      <c r="H12" s="4" t="s">
        <v>19</v>
      </c>
      <c r="I12" s="4" t="s">
        <v>19</v>
      </c>
      <c r="J12" s="5" t="s">
        <v>19</v>
      </c>
      <c r="K12" s="4" t="s">
        <v>20</v>
      </c>
      <c r="L12" s="4" t="s">
        <v>20</v>
      </c>
      <c r="M12" s="5" t="s">
        <v>20</v>
      </c>
    </row>
    <row r="13" spans="1:13">
      <c r="A13" s="6" t="s">
        <v>7</v>
      </c>
      <c r="B13" s="6" t="s">
        <v>8</v>
      </c>
      <c r="C13" s="6" t="s">
        <v>9</v>
      </c>
      <c r="D13" s="7" t="s">
        <v>10</v>
      </c>
      <c r="E13" s="6" t="s">
        <v>8</v>
      </c>
      <c r="F13" s="6" t="s">
        <v>9</v>
      </c>
      <c r="G13" s="7" t="s">
        <v>10</v>
      </c>
      <c r="H13" s="6" t="s">
        <v>8</v>
      </c>
      <c r="I13" s="6" t="s">
        <v>9</v>
      </c>
      <c r="J13" s="7" t="s">
        <v>10</v>
      </c>
      <c r="K13" s="6" t="s">
        <v>8</v>
      </c>
      <c r="L13" s="6" t="s">
        <v>9</v>
      </c>
      <c r="M13" s="7" t="s">
        <v>10</v>
      </c>
    </row>
    <row r="14" spans="1:13">
      <c r="A14" s="8" t="s">
        <v>11</v>
      </c>
      <c r="B14" s="9">
        <v>0.7866</v>
      </c>
      <c r="C14" s="9">
        <v>0.9261</v>
      </c>
      <c r="D14" s="10">
        <v>0.8507</v>
      </c>
      <c r="E14" s="9">
        <v>0.575</v>
      </c>
      <c r="F14" s="9">
        <v>0.6546</v>
      </c>
      <c r="G14" s="10">
        <v>0.6122</v>
      </c>
      <c r="H14" s="9">
        <v>0.6847</v>
      </c>
      <c r="I14" s="9">
        <v>0.8</v>
      </c>
      <c r="J14" s="10">
        <v>0.7379</v>
      </c>
      <c r="K14" s="9">
        <v>0.7139</v>
      </c>
      <c r="L14" s="9">
        <v>0.8052</v>
      </c>
      <c r="M14" s="17">
        <v>0.7568</v>
      </c>
    </row>
    <row r="15" spans="1:13">
      <c r="A15" s="11" t="s">
        <v>12</v>
      </c>
      <c r="B15" s="12">
        <v>0.8501</v>
      </c>
      <c r="C15" s="12">
        <v>0.8547</v>
      </c>
      <c r="D15" s="13">
        <v>0.8524</v>
      </c>
      <c r="E15" s="12">
        <v>0.9057</v>
      </c>
      <c r="F15" s="12">
        <v>0.9669</v>
      </c>
      <c r="G15" s="13">
        <v>0.9353</v>
      </c>
      <c r="H15" s="12">
        <v>0.7873</v>
      </c>
      <c r="I15" s="12">
        <v>0.9439</v>
      </c>
      <c r="J15" s="13">
        <v>0.8585</v>
      </c>
      <c r="K15" s="12">
        <v>0.8976</v>
      </c>
      <c r="L15" s="12">
        <v>0.9714</v>
      </c>
      <c r="M15" s="18">
        <v>0.933</v>
      </c>
    </row>
    <row r="16" spans="1:13">
      <c r="A16" s="11" t="s">
        <v>13</v>
      </c>
      <c r="B16" s="12">
        <v>0.8945</v>
      </c>
      <c r="C16" s="12">
        <v>0.7339</v>
      </c>
      <c r="D16" s="13">
        <v>0.8063</v>
      </c>
      <c r="E16" s="12">
        <v>0.8343</v>
      </c>
      <c r="F16" s="12">
        <v>0.9047</v>
      </c>
      <c r="G16" s="13">
        <v>0.8681</v>
      </c>
      <c r="H16" s="12">
        <v>0.8165</v>
      </c>
      <c r="I16" s="12">
        <v>0.9456</v>
      </c>
      <c r="J16" s="13">
        <v>0.8763</v>
      </c>
      <c r="K16" s="12">
        <v>0.8982</v>
      </c>
      <c r="L16" s="12">
        <v>1</v>
      </c>
      <c r="M16" s="18">
        <v>0.9464</v>
      </c>
    </row>
    <row r="17" spans="1:13">
      <c r="A17" s="11" t="s">
        <v>14</v>
      </c>
      <c r="B17" s="12">
        <v>0.8212</v>
      </c>
      <c r="C17" s="12">
        <v>0.8671</v>
      </c>
      <c r="D17" s="13">
        <v>0.8435</v>
      </c>
      <c r="E17" s="12">
        <v>0.7918</v>
      </c>
      <c r="F17" s="12">
        <v>0.8811</v>
      </c>
      <c r="G17" s="13">
        <v>0.8341</v>
      </c>
      <c r="H17" s="12">
        <v>0.6216</v>
      </c>
      <c r="I17" s="12">
        <v>0.7648</v>
      </c>
      <c r="J17" s="13">
        <v>0.6858</v>
      </c>
      <c r="K17" s="12">
        <v>0.975</v>
      </c>
      <c r="L17" s="12">
        <v>0.9918</v>
      </c>
      <c r="M17" s="18">
        <v>0.9833</v>
      </c>
    </row>
    <row r="18" spans="1:13">
      <c r="A18" s="11" t="s">
        <v>15</v>
      </c>
      <c r="B18" s="12">
        <v>0.9231</v>
      </c>
      <c r="C18" s="12">
        <v>0.9783</v>
      </c>
      <c r="D18" s="13">
        <v>0.9499</v>
      </c>
      <c r="E18" s="12">
        <v>0.951</v>
      </c>
      <c r="F18" s="12">
        <v>0.9737</v>
      </c>
      <c r="G18" s="13">
        <v>0.9622</v>
      </c>
      <c r="H18" s="12">
        <v>0.9043</v>
      </c>
      <c r="I18" s="12">
        <v>0.9723</v>
      </c>
      <c r="J18" s="13">
        <v>0.9371</v>
      </c>
      <c r="K18" s="12">
        <v>0.9631</v>
      </c>
      <c r="L18" s="12">
        <v>1</v>
      </c>
      <c r="M18" s="18">
        <v>0.9812</v>
      </c>
    </row>
    <row r="19" spans="1:13">
      <c r="A19" s="14" t="s">
        <v>16</v>
      </c>
      <c r="B19" s="15">
        <f t="shared" ref="B19:V19" si="1">AVERAGE(B14:B18)</f>
        <v>0.8551</v>
      </c>
      <c r="C19" s="15">
        <f t="shared" si="1"/>
        <v>0.87202</v>
      </c>
      <c r="D19" s="16">
        <f t="shared" si="1"/>
        <v>0.86056</v>
      </c>
      <c r="E19" s="15">
        <f t="shared" si="1"/>
        <v>0.81156</v>
      </c>
      <c r="F19" s="15">
        <f t="shared" si="1"/>
        <v>0.8762</v>
      </c>
      <c r="G19" s="16">
        <f t="shared" si="1"/>
        <v>0.84238</v>
      </c>
      <c r="H19" s="15">
        <f t="shared" si="1"/>
        <v>0.76288</v>
      </c>
      <c r="I19" s="15">
        <f t="shared" si="1"/>
        <v>0.88532</v>
      </c>
      <c r="J19" s="16">
        <f t="shared" si="1"/>
        <v>0.81912</v>
      </c>
      <c r="K19" s="15">
        <f t="shared" si="1"/>
        <v>0.88956</v>
      </c>
      <c r="L19" s="15">
        <f t="shared" si="1"/>
        <v>0.95368</v>
      </c>
      <c r="M19" s="19">
        <f t="shared" si="1"/>
        <v>0.92014</v>
      </c>
    </row>
    <row r="21" ht="16.5" spans="1:13">
      <c r="A21" s="20" t="s">
        <v>21</v>
      </c>
      <c r="B21" s="20" t="s">
        <v>22</v>
      </c>
      <c r="C21" s="20" t="s">
        <v>22</v>
      </c>
      <c r="D21" s="21" t="s">
        <v>22</v>
      </c>
      <c r="E21" s="20" t="s">
        <v>22</v>
      </c>
      <c r="F21" s="20" t="s">
        <v>22</v>
      </c>
      <c r="G21" s="21" t="s">
        <v>22</v>
      </c>
      <c r="H21" s="20" t="s">
        <v>22</v>
      </c>
      <c r="I21" s="20" t="s">
        <v>22</v>
      </c>
      <c r="J21" s="21" t="s">
        <v>22</v>
      </c>
      <c r="K21" s="20" t="s">
        <v>22</v>
      </c>
      <c r="L21" s="20" t="s">
        <v>22</v>
      </c>
      <c r="M21" s="21" t="s">
        <v>22</v>
      </c>
    </row>
    <row r="22" spans="1:13">
      <c r="A22" s="6" t="s">
        <v>1</v>
      </c>
      <c r="B22" s="6" t="s">
        <v>2</v>
      </c>
      <c r="C22" s="6" t="s">
        <v>3</v>
      </c>
      <c r="D22" s="7" t="s">
        <v>3</v>
      </c>
      <c r="E22" s="6" t="s">
        <v>4</v>
      </c>
      <c r="F22" s="6" t="s">
        <v>4</v>
      </c>
      <c r="G22" s="7" t="s">
        <v>4</v>
      </c>
      <c r="H22" s="6" t="s">
        <v>5</v>
      </c>
      <c r="I22" s="6" t="s">
        <v>5</v>
      </c>
      <c r="J22" s="7" t="s">
        <v>5</v>
      </c>
      <c r="K22" s="6" t="s">
        <v>6</v>
      </c>
      <c r="L22" s="6" t="s">
        <v>6</v>
      </c>
      <c r="M22" s="7" t="s">
        <v>6</v>
      </c>
    </row>
    <row r="23" spans="1:13">
      <c r="A23" s="6" t="s">
        <v>7</v>
      </c>
      <c r="B23" s="6" t="s">
        <v>8</v>
      </c>
      <c r="C23" s="6" t="s">
        <v>9</v>
      </c>
      <c r="D23" s="7" t="s">
        <v>10</v>
      </c>
      <c r="E23" s="6" t="s">
        <v>8</v>
      </c>
      <c r="F23" s="6" t="s">
        <v>9</v>
      </c>
      <c r="G23" s="7" t="s">
        <v>10</v>
      </c>
      <c r="H23" s="6" t="s">
        <v>8</v>
      </c>
      <c r="I23" s="6" t="s">
        <v>9</v>
      </c>
      <c r="J23" s="7" t="s">
        <v>10</v>
      </c>
      <c r="K23" s="6" t="s">
        <v>8</v>
      </c>
      <c r="L23" s="6" t="s">
        <v>9</v>
      </c>
      <c r="M23" s="7" t="s">
        <v>10</v>
      </c>
    </row>
    <row r="24" spans="1:13">
      <c r="A24" s="8" t="s">
        <v>11</v>
      </c>
      <c r="B24" s="9">
        <v>0.54</v>
      </c>
      <c r="C24" s="9">
        <v>0.24</v>
      </c>
      <c r="D24" s="10">
        <v>0.33</v>
      </c>
      <c r="E24" s="9">
        <v>0.2038</v>
      </c>
      <c r="F24" s="9">
        <v>0.6667</v>
      </c>
      <c r="G24" s="10">
        <v>0.3122</v>
      </c>
      <c r="H24" s="9">
        <v>0.4</v>
      </c>
      <c r="I24" s="9">
        <v>0.2825</v>
      </c>
      <c r="J24" s="10">
        <v>0.3311</v>
      </c>
      <c r="K24" s="9">
        <v>0.6923</v>
      </c>
      <c r="L24" s="9">
        <v>0.2034</v>
      </c>
      <c r="M24" s="10">
        <v>0.3144</v>
      </c>
    </row>
    <row r="25" spans="1:13">
      <c r="A25" s="11" t="s">
        <v>12</v>
      </c>
      <c r="B25" s="12">
        <v>0.33</v>
      </c>
      <c r="C25" s="12">
        <v>0.87</v>
      </c>
      <c r="D25" s="13">
        <v>0.48</v>
      </c>
      <c r="E25" s="12">
        <v>0.5441</v>
      </c>
      <c r="F25" s="12">
        <v>0.8415</v>
      </c>
      <c r="G25" s="13">
        <v>0.6609</v>
      </c>
      <c r="H25" s="12">
        <v>0.9241</v>
      </c>
      <c r="I25" s="12">
        <v>0.7585</v>
      </c>
      <c r="J25" s="13">
        <v>0.8331</v>
      </c>
      <c r="K25" s="12">
        <v>0.9705</v>
      </c>
      <c r="L25" s="12">
        <v>0.7751</v>
      </c>
      <c r="M25" s="13">
        <v>0.8619</v>
      </c>
    </row>
    <row r="26" spans="1:13">
      <c r="A26" s="11" t="s">
        <v>13</v>
      </c>
      <c r="B26" s="12">
        <v>0.29</v>
      </c>
      <c r="C26" s="12">
        <v>0.92</v>
      </c>
      <c r="D26" s="13">
        <v>0.44</v>
      </c>
      <c r="E26" s="12">
        <v>0.2683</v>
      </c>
      <c r="F26" s="12">
        <v>0.7857</v>
      </c>
      <c r="G26" s="13">
        <v>0.4</v>
      </c>
      <c r="H26" s="12">
        <v>1</v>
      </c>
      <c r="I26" s="12">
        <v>0.2857</v>
      </c>
      <c r="J26" s="13">
        <v>0.4444</v>
      </c>
      <c r="K26" s="12">
        <v>0.875</v>
      </c>
      <c r="L26" s="12">
        <v>0.5</v>
      </c>
      <c r="M26" s="13">
        <v>0.6364</v>
      </c>
    </row>
    <row r="27" spans="1:13">
      <c r="A27" s="11" t="s">
        <v>14</v>
      </c>
      <c r="B27" s="12">
        <v>0.68</v>
      </c>
      <c r="C27" s="12">
        <v>0.81</v>
      </c>
      <c r="D27" s="13">
        <v>0.74</v>
      </c>
      <c r="E27" s="12">
        <v>0.3853</v>
      </c>
      <c r="F27" s="12">
        <v>0.8645</v>
      </c>
      <c r="G27" s="13">
        <v>0.533</v>
      </c>
      <c r="H27" s="12">
        <v>0.7381</v>
      </c>
      <c r="I27" s="12">
        <v>0.511</v>
      </c>
      <c r="J27" s="13">
        <v>0.6039</v>
      </c>
      <c r="K27" s="12">
        <v>0.7661</v>
      </c>
      <c r="L27" s="12">
        <v>0.5879</v>
      </c>
      <c r="M27" s="13">
        <v>0.6653</v>
      </c>
    </row>
    <row r="28" spans="1:13">
      <c r="A28" s="11" t="s">
        <v>15</v>
      </c>
      <c r="B28" s="12">
        <v>0.24</v>
      </c>
      <c r="C28" s="12">
        <v>0.76</v>
      </c>
      <c r="D28" s="13">
        <v>0.37</v>
      </c>
      <c r="E28" s="12">
        <v>0.8049</v>
      </c>
      <c r="F28" s="12">
        <v>0.9167</v>
      </c>
      <c r="G28" s="13">
        <v>0.8571</v>
      </c>
      <c r="H28" s="12">
        <v>0.9683</v>
      </c>
      <c r="I28" s="12">
        <v>0.8472</v>
      </c>
      <c r="J28" s="13">
        <v>0.9037</v>
      </c>
      <c r="K28" s="12">
        <v>0.9839</v>
      </c>
      <c r="L28" s="12">
        <v>0.8472</v>
      </c>
      <c r="M28" s="13">
        <v>0.9104</v>
      </c>
    </row>
    <row r="29" spans="1:13">
      <c r="A29" s="14" t="s">
        <v>16</v>
      </c>
      <c r="B29" s="15">
        <f t="shared" ref="B29:V29" si="2">AVERAGE(B24:B28)</f>
        <v>0.416</v>
      </c>
      <c r="C29" s="15">
        <f t="shared" si="2"/>
        <v>0.72</v>
      </c>
      <c r="D29" s="16">
        <f t="shared" si="2"/>
        <v>0.472</v>
      </c>
      <c r="E29" s="15">
        <f t="shared" si="2"/>
        <v>0.44128</v>
      </c>
      <c r="F29" s="15">
        <f t="shared" si="2"/>
        <v>0.81502</v>
      </c>
      <c r="G29" s="16">
        <f t="shared" si="2"/>
        <v>0.55264</v>
      </c>
      <c r="H29" s="15">
        <f t="shared" si="2"/>
        <v>0.8061</v>
      </c>
      <c r="I29" s="15">
        <f t="shared" si="2"/>
        <v>0.53698</v>
      </c>
      <c r="J29" s="16">
        <f t="shared" si="2"/>
        <v>0.62324</v>
      </c>
      <c r="K29" s="15">
        <f t="shared" si="2"/>
        <v>0.85756</v>
      </c>
      <c r="L29" s="15">
        <f t="shared" si="2"/>
        <v>0.58272</v>
      </c>
      <c r="M29" s="16">
        <f t="shared" si="2"/>
        <v>0.67768</v>
      </c>
    </row>
    <row r="31" customFormat="1" ht="16.5" spans="1:13">
      <c r="A31" s="20" t="s">
        <v>23</v>
      </c>
      <c r="B31" s="20" t="s">
        <v>22</v>
      </c>
      <c r="C31" s="20" t="s">
        <v>22</v>
      </c>
      <c r="D31" s="21" t="s">
        <v>22</v>
      </c>
      <c r="E31" s="20" t="s">
        <v>22</v>
      </c>
      <c r="F31" s="20" t="s">
        <v>22</v>
      </c>
      <c r="G31" s="21" t="s">
        <v>22</v>
      </c>
      <c r="H31" s="20" t="s">
        <v>22</v>
      </c>
      <c r="I31" s="20" t="s">
        <v>22</v>
      </c>
      <c r="J31" s="21" t="s">
        <v>22</v>
      </c>
      <c r="K31" s="20" t="s">
        <v>22</v>
      </c>
      <c r="L31" s="20" t="s">
        <v>22</v>
      </c>
      <c r="M31" s="21" t="s">
        <v>22</v>
      </c>
    </row>
    <row r="32" customFormat="1" spans="1:13">
      <c r="A32" s="6" t="s">
        <v>1</v>
      </c>
      <c r="B32" s="6" t="s">
        <v>2</v>
      </c>
      <c r="C32" s="6" t="s">
        <v>3</v>
      </c>
      <c r="D32" s="7" t="s">
        <v>3</v>
      </c>
      <c r="E32" s="6" t="s">
        <v>18</v>
      </c>
      <c r="F32" s="6" t="s">
        <v>18</v>
      </c>
      <c r="G32" s="7" t="s">
        <v>18</v>
      </c>
      <c r="H32" s="6" t="s">
        <v>19</v>
      </c>
      <c r="I32" s="6" t="s">
        <v>19</v>
      </c>
      <c r="J32" s="7" t="s">
        <v>19</v>
      </c>
      <c r="K32" s="6" t="s">
        <v>20</v>
      </c>
      <c r="L32" s="6" t="s">
        <v>20</v>
      </c>
      <c r="M32" s="7" t="s">
        <v>20</v>
      </c>
    </row>
    <row r="33" customFormat="1" spans="1:13">
      <c r="A33" s="6" t="s">
        <v>7</v>
      </c>
      <c r="B33" s="6" t="s">
        <v>8</v>
      </c>
      <c r="C33" s="6" t="s">
        <v>9</v>
      </c>
      <c r="D33" s="7" t="s">
        <v>10</v>
      </c>
      <c r="E33" s="6" t="s">
        <v>8</v>
      </c>
      <c r="F33" s="6" t="s">
        <v>9</v>
      </c>
      <c r="G33" s="7" t="s">
        <v>10</v>
      </c>
      <c r="H33" s="6" t="s">
        <v>8</v>
      </c>
      <c r="I33" s="6" t="s">
        <v>9</v>
      </c>
      <c r="J33" s="7" t="s">
        <v>10</v>
      </c>
      <c r="K33" s="6" t="s">
        <v>8</v>
      </c>
      <c r="L33" s="6" t="s">
        <v>9</v>
      </c>
      <c r="M33" s="7" t="s">
        <v>10</v>
      </c>
    </row>
    <row r="34" customFormat="1" spans="1:13">
      <c r="A34" s="8" t="s">
        <v>11</v>
      </c>
      <c r="B34" s="9">
        <v>0.54</v>
      </c>
      <c r="C34" s="9">
        <v>0.24</v>
      </c>
      <c r="D34" s="10">
        <v>0.33</v>
      </c>
      <c r="E34" s="9">
        <v>0.1818</v>
      </c>
      <c r="F34" s="9">
        <v>0.0678</v>
      </c>
      <c r="G34" s="10">
        <v>0.0988</v>
      </c>
      <c r="H34" s="9">
        <v>0.3871</v>
      </c>
      <c r="I34" s="9">
        <v>0.0678</v>
      </c>
      <c r="J34" s="10">
        <v>0.1154</v>
      </c>
      <c r="K34" s="9">
        <v>0.5385</v>
      </c>
      <c r="L34" s="9">
        <v>0.2373</v>
      </c>
      <c r="M34" s="17">
        <v>0.3294</v>
      </c>
    </row>
    <row r="35" customFormat="1" spans="1:13">
      <c r="A35" s="11" t="s">
        <v>12</v>
      </c>
      <c r="B35" s="12">
        <v>0.33</v>
      </c>
      <c r="C35" s="12">
        <v>0.87</v>
      </c>
      <c r="D35" s="13">
        <v>0.48</v>
      </c>
      <c r="E35" s="12">
        <v>0.9143</v>
      </c>
      <c r="F35" s="12">
        <v>0.7017</v>
      </c>
      <c r="G35" s="13">
        <v>0.794</v>
      </c>
      <c r="H35" s="12">
        <v>0.9971</v>
      </c>
      <c r="I35" s="12">
        <v>0.2415</v>
      </c>
      <c r="J35" s="13">
        <v>0.3889</v>
      </c>
      <c r="K35" s="12">
        <v>0.9981</v>
      </c>
      <c r="L35" s="12">
        <v>0.7128</v>
      </c>
      <c r="M35" s="18">
        <v>0.8317</v>
      </c>
    </row>
    <row r="36" customFormat="1" spans="1:13">
      <c r="A36" s="11" t="s">
        <v>13</v>
      </c>
      <c r="B36" s="12">
        <v>0.29</v>
      </c>
      <c r="C36" s="12">
        <v>0.92</v>
      </c>
      <c r="D36" s="13">
        <v>0.44</v>
      </c>
      <c r="E36" s="12">
        <v>0.3333</v>
      </c>
      <c r="F36" s="12">
        <v>0.1538</v>
      </c>
      <c r="G36" s="13">
        <v>0.2105</v>
      </c>
      <c r="H36" s="12">
        <v>1</v>
      </c>
      <c r="I36" s="12">
        <v>0.0769</v>
      </c>
      <c r="J36" s="13">
        <v>0.1429</v>
      </c>
      <c r="K36" s="12">
        <v>1</v>
      </c>
      <c r="L36" s="12">
        <v>0.3077</v>
      </c>
      <c r="M36" s="18">
        <v>0.4706</v>
      </c>
    </row>
    <row r="37" customFormat="1" spans="1:13">
      <c r="A37" s="11" t="s">
        <v>14</v>
      </c>
      <c r="B37" s="12">
        <v>0.68</v>
      </c>
      <c r="C37" s="12">
        <v>0.81</v>
      </c>
      <c r="D37" s="13">
        <v>0.74</v>
      </c>
      <c r="E37" s="12">
        <v>0.5903</v>
      </c>
      <c r="F37" s="12">
        <v>0.3114</v>
      </c>
      <c r="G37" s="13">
        <v>0.4077</v>
      </c>
      <c r="H37" s="12">
        <v>0.8409</v>
      </c>
      <c r="I37" s="12">
        <v>0.0678</v>
      </c>
      <c r="J37" s="13">
        <v>0.1254</v>
      </c>
      <c r="K37" s="12">
        <v>0.998</v>
      </c>
      <c r="L37" s="12">
        <v>0.9359</v>
      </c>
      <c r="M37" s="18">
        <v>0.966</v>
      </c>
    </row>
    <row r="38" customFormat="1" spans="1:13">
      <c r="A38" s="11" t="s">
        <v>15</v>
      </c>
      <c r="B38" s="12">
        <v>0.24</v>
      </c>
      <c r="C38" s="12">
        <v>0.76</v>
      </c>
      <c r="D38" s="13">
        <v>0.37</v>
      </c>
      <c r="E38" s="12">
        <v>0.9091</v>
      </c>
      <c r="F38" s="12">
        <v>0.8333</v>
      </c>
      <c r="G38" s="13">
        <v>0.8696</v>
      </c>
      <c r="H38" s="12">
        <v>1</v>
      </c>
      <c r="I38" s="12">
        <v>0.7083</v>
      </c>
      <c r="J38" s="13">
        <v>0.8293</v>
      </c>
      <c r="K38" s="12">
        <v>1</v>
      </c>
      <c r="L38" s="12">
        <v>0.8472</v>
      </c>
      <c r="M38" s="18">
        <v>0.9173</v>
      </c>
    </row>
    <row r="39" customFormat="1" spans="1:13">
      <c r="A39" s="14" t="s">
        <v>16</v>
      </c>
      <c r="B39" s="22">
        <f t="shared" ref="B39:V39" si="3">AVERAGE(B34:B38)</f>
        <v>0.416</v>
      </c>
      <c r="C39" s="22">
        <f t="shared" si="3"/>
        <v>0.72</v>
      </c>
      <c r="D39" s="16">
        <f t="shared" si="3"/>
        <v>0.472</v>
      </c>
      <c r="E39" s="22">
        <f t="shared" si="3"/>
        <v>0.58576</v>
      </c>
      <c r="F39" s="22">
        <f t="shared" si="3"/>
        <v>0.4136</v>
      </c>
      <c r="G39" s="16">
        <f t="shared" si="3"/>
        <v>0.47612</v>
      </c>
      <c r="H39" s="22">
        <f t="shared" si="3"/>
        <v>0.84502</v>
      </c>
      <c r="I39" s="22">
        <f t="shared" si="3"/>
        <v>0.23246</v>
      </c>
      <c r="J39" s="16">
        <f t="shared" si="3"/>
        <v>0.32038</v>
      </c>
      <c r="K39" s="22">
        <f t="shared" si="3"/>
        <v>0.90692</v>
      </c>
      <c r="L39" s="22">
        <f t="shared" si="3"/>
        <v>0.60818</v>
      </c>
      <c r="M39" s="19">
        <f t="shared" si="3"/>
        <v>0.703</v>
      </c>
    </row>
  </sheetData>
  <mergeCells count="24">
    <mergeCell ref="A1:M1"/>
    <mergeCell ref="B2:D2"/>
    <mergeCell ref="E2:G2"/>
    <mergeCell ref="H2:J2"/>
    <mergeCell ref="K2:M2"/>
    <mergeCell ref="A11:M11"/>
    <mergeCell ref="B12:D12"/>
    <mergeCell ref="E12:G12"/>
    <mergeCell ref="H12:J12"/>
    <mergeCell ref="K12:M12"/>
    <mergeCell ref="A21:M21"/>
    <mergeCell ref="B22:D22"/>
    <mergeCell ref="E22:G22"/>
    <mergeCell ref="H22:J22"/>
    <mergeCell ref="K22:M22"/>
    <mergeCell ref="A31:M31"/>
    <mergeCell ref="B32:D32"/>
    <mergeCell ref="E32:G32"/>
    <mergeCell ref="H32:J32"/>
    <mergeCell ref="K32:M32"/>
    <mergeCell ref="A2:A3"/>
    <mergeCell ref="A12:A13"/>
    <mergeCell ref="A22:A23"/>
    <mergeCell ref="A32:A33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F1 Results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WPS_1601775120</cp:lastModifiedBy>
  <dcterms:created xsi:type="dcterms:W3CDTF">2026-07-23T12:00:03Z</dcterms:created>
  <dcterms:modified xsi:type="dcterms:W3CDTF">2026-07-23T12:15:01Z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D67E1E9D65874A54AAAF23CE5827DF6B_12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