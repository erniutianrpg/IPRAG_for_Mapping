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F1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<sst xmlns="http://schemas.openxmlformats.org/spreadsheetml/2006/main" count="90" uniqueCount="17">
  <si>
    <t>Java Multi-Missing-3 DM Mapping Metrics</t>
  </si>
  <si>
    <t>Project</t>
  </si>
  <si>
    <t>TF-IDF</t>
  </si>
  <si>
    <t>LLM-S</t>
  </si>
  <si>
    <t>LLM-A</t>
  </si>
  <si>
    <t>IP-RAG</t>
  </si>
  <si>
    <t/>
  </si>
  <si>
    <t>precision</t>
  </si>
  <si>
    <t>recall</t>
  </si>
  <si>
    <t>f1</t>
  </si>
  <si>
    <t>bigbluebutton</t>
  </si>
  <si>
    <t>jabref</t>
  </si>
  <si>
    <t>mediastore</t>
  </si>
  <si>
    <t>teammates</t>
  </si>
  <si>
    <t>teastore</t>
  </si>
  <si>
    <t>Mean</t>
  </si>
  <si>
    <t>Java Multi-Missing-3 UM Mapping Metrics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</si>
</sst>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7">
    <font>
      <sz val="11"/>
      <name val="Carlito"/>
      <charset val="134"/>
    </font>
    <font>
      <b/>
      <sz val="11"/>
      <color rgb="FFFF0000"/>
      <name val="Carlito"/>
      <charset val="134"/>
    </font>
    <font>
      <b/>
      <sz val="11"/>
      <name val="Carlito"/>
      <charset val="134"/>
    </font>
    <font>
      <b/>
      <sz val="13"/>
      <color rgb="FFFFFFFF"/>
      <name val="Carlito"/>
      <charset val="134"/>
    </font>
    <font>
      <b/>
      <sz val="13"/>
      <color rgb="FFFF0000"/>
      <name val="Carlito"/>
      <charset val="134"/>
    </font>
    <font>
      <b/>
      <sz val="13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2" fillId="0" borderId="0" xfId="49" applyFont="1"/>
    <xf numFmtId="0" fontId="2" fillId="0" borderId="0" xfId="49" applyFont="1"/>
    <xf numFmtId="0" fontId="3" fillId="2" borderId="0" xfId="49" applyNumberFormat="1" applyFont="1" applyFill="1" applyBorder="1" applyAlignment="1">
      <alignment horizontal="center"/>
    </xf>
    <xf numFmtId="0" fontId="4" fillId="2" borderId="0" xfId="49" applyNumberFormat="1" applyFont="1" applyFill="1" applyBorder="1" applyAlignment="1">
      <alignment horizontal="center"/>
    </xf>
    <xf numFmtId="0" fontId="5" fillId="2" borderId="0" xfId="49" applyNumberFormat="1" applyFont="1" applyFill="1" applyBorder="1" applyAlignment="1">
      <alignment horizontal="center"/>
    </xf>
    <xf numFmtId="0" fontId="6" fillId="3" borderId="1" xfId="49" applyNumberFormat="1" applyFont="1" applyFill="1" applyBorder="1" applyAlignment="1">
      <alignment horizontal="center"/>
    </xf>
    <xf numFmtId="0" fontId="1" fillId="3" borderId="1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horizontal="center"/>
    </xf>
    <xf numFmtId="0" fontId="0" fillId="0" borderId="1" xfId="49" applyNumberFormat="1" applyFont="1" applyFill="1" applyBorder="1"/>
    <xf numFmtId="176" fontId="0" fillId="0" borderId="1" xfId="49" applyNumberFormat="1" applyFont="1" applyFill="1" applyBorder="1"/>
    <xf numFmtId="176" fontId="1" fillId="0" borderId="1" xfId="49" applyNumberFormat="1" applyFont="1" applyFill="1" applyBorder="1"/>
    <xf numFmtId="176" fontId="2" fillId="0" borderId="1" xfId="49" applyNumberFormat="1" applyFont="1" applyFill="1" applyBorder="1"/>
    <xf numFmtId="0" fontId="2" fillId="4" borderId="1" xfId="49" applyNumberFormat="1" applyFont="1" applyFill="1" applyBorder="1"/>
    <xf numFmtId="176" fontId="2" fillId="4" borderId="1" xfId="49" applyNumberFormat="1" applyFont="1" applyFill="1" applyBorder="1"/>
    <xf numFmtId="176" fontId="1" fillId="4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showGridLines="0" tabSelected="1" workbookViewId="0">
      <selection activeCell="P12" sqref="P12"/>
    </sheetView>
  </sheetViews>
  <sheetFormatPr defaultColWidth="9" defaultRowHeight="13.85"/>
  <cols>
    <col min="1" max="1" width="12.3833333333333" customWidth="1"/>
    <col min="2" max="2" width="9.69166666666667" customWidth="1"/>
    <col min="3" max="3" width="8.19166666666667" customWidth="1"/>
    <col min="4" max="4" width="7.325" style="1" customWidth="1"/>
    <col min="5" max="5" width="9.19166666666667" customWidth="1"/>
    <col min="6" max="6" width="7.95" customWidth="1"/>
    <col min="7" max="7" width="8.00833333333333" style="2" customWidth="1"/>
    <col min="8" max="8" width="8.06666666666667" customWidth="1"/>
    <col min="9" max="9" width="7.95" customWidth="1"/>
    <col min="10" max="10" width="7.75833333333333" style="3" customWidth="1"/>
    <col min="11" max="11" width="8.88333333333333" customWidth="1"/>
    <col min="12" max="12" width="7.50833333333333" customWidth="1"/>
    <col min="13" max="13" width="8.94166666666667" style="1" customWidth="1"/>
  </cols>
  <sheetData>
    <row r="1" ht="16.85" spans="1:16">
      <c r="A1" s="4" t="s">
        <v>0</v>
      </c>
      <c r="B1" s="4" t="s">
        <v>0</v>
      </c>
      <c r="C1" s="4" t="s">
        <v>0</v>
      </c>
      <c r="D1" s="5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6" t="s">
        <v>0</v>
      </c>
      <c r="K1" s="4" t="s">
        <v>0</v>
      </c>
      <c r="L1" s="4" t="s">
        <v>0</v>
      </c>
      <c r="M1" s="5" t="s">
        <v>0</v>
      </c>
    </row>
    <row r="2" spans="1:16">
      <c r="A2" s="7" t="s">
        <v>1</v>
      </c>
      <c r="B2" s="7" t="s">
        <v>2</v>
      </c>
      <c r="C2" s="7" t="s">
        <v>2</v>
      </c>
      <c r="D2" s="8" t="s">
        <v>2</v>
      </c>
      <c r="E2" s="7" t="s">
        <v>3</v>
      </c>
      <c r="F2" s="7" t="s">
        <v>3</v>
      </c>
      <c r="G2" s="7" t="s">
        <v>3</v>
      </c>
      <c r="H2" s="7" t="s">
        <v>4</v>
      </c>
      <c r="I2" s="7" t="s">
        <v>4</v>
      </c>
      <c r="J2" s="9" t="s">
        <v>4</v>
      </c>
      <c r="K2" s="7" t="s">
        <v>5</v>
      </c>
      <c r="L2" s="7" t="s">
        <v>5</v>
      </c>
      <c r="M2" s="8" t="s">
        <v>5</v>
      </c>
    </row>
    <row r="3" spans="1:16">
      <c r="A3" s="7" t="s">
        <v>6</v>
      </c>
      <c r="B3" s="7" t="s">
        <v>7</v>
      </c>
      <c r="C3" s="7" t="s">
        <v>8</v>
      </c>
      <c r="D3" s="8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9" t="s">
        <v>9</v>
      </c>
      <c r="K3" s="7" t="s">
        <v>7</v>
      </c>
      <c r="L3" s="7" t="s">
        <v>8</v>
      </c>
      <c r="M3" s="8" t="s">
        <v>9</v>
      </c>
    </row>
    <row r="4" spans="1:16">
      <c r="A4" s="10" t="s">
        <v>10</v>
      </c>
      <c r="B4" s="11">
        <v>0.5582</v>
      </c>
      <c r="C4" s="11">
        <v>0.8312</v>
      </c>
      <c r="D4" s="12">
        <v>0.6679</v>
      </c>
      <c r="E4" s="11">
        <v>0.4857</v>
      </c>
      <c r="F4" s="11">
        <v>0.8878</v>
      </c>
      <c r="G4" s="13">
        <v>0.6279</v>
      </c>
      <c r="H4" s="11">
        <v>0.5967</v>
      </c>
      <c r="I4" s="11">
        <v>0.8862</v>
      </c>
      <c r="J4" s="13">
        <v>0.7132</v>
      </c>
      <c r="K4" s="11">
        <v>0.6368</v>
      </c>
      <c r="L4" s="11">
        <v>0.8666</v>
      </c>
      <c r="M4" s="12">
        <v>0.7341</v>
      </c>
      <c r="N4" s="11"/>
      <c r="O4" s="11"/>
      <c r="P4" s="13"/>
    </row>
    <row r="5" spans="1:16">
      <c r="A5" s="10" t="s">
        <v>11</v>
      </c>
      <c r="B5" s="11">
        <v>0.5181</v>
      </c>
      <c r="C5" s="11">
        <v>0.7293</v>
      </c>
      <c r="D5" s="12">
        <v>0.6058</v>
      </c>
      <c r="E5" s="11">
        <v>0.4945</v>
      </c>
      <c r="F5" s="11">
        <v>0.9946</v>
      </c>
      <c r="G5" s="13">
        <v>0.6606</v>
      </c>
      <c r="H5" s="11">
        <v>0.5125</v>
      </c>
      <c r="I5" s="11">
        <v>0.9968</v>
      </c>
      <c r="J5" s="13">
        <v>0.6769</v>
      </c>
      <c r="K5" s="11">
        <v>0.5573</v>
      </c>
      <c r="L5" s="11">
        <v>0.9953</v>
      </c>
      <c r="M5" s="12">
        <v>0.7145</v>
      </c>
    </row>
    <row r="6" spans="1:16">
      <c r="A6" s="10" t="s">
        <v>12</v>
      </c>
      <c r="B6" s="11">
        <v>0.8472</v>
      </c>
      <c r="C6" s="11">
        <v>0.5138</v>
      </c>
      <c r="D6" s="12">
        <v>0.6397</v>
      </c>
      <c r="E6" s="11">
        <v>0.7832</v>
      </c>
      <c r="F6" s="11">
        <v>1</v>
      </c>
      <c r="G6" s="13">
        <v>0.8784</v>
      </c>
      <c r="H6" s="11">
        <v>0.7706</v>
      </c>
      <c r="I6" s="11">
        <v>1</v>
      </c>
      <c r="J6" s="13">
        <v>0.8704</v>
      </c>
      <c r="K6" s="11">
        <v>0.8</v>
      </c>
      <c r="L6" s="11">
        <v>1</v>
      </c>
      <c r="M6" s="12">
        <v>0.8889</v>
      </c>
    </row>
    <row r="7" spans="1:16">
      <c r="A7" s="10" t="s">
        <v>13</v>
      </c>
      <c r="B7" s="11">
        <v>0.8068</v>
      </c>
      <c r="C7" s="11">
        <v>0.7329</v>
      </c>
      <c r="D7" s="12">
        <v>0.7681</v>
      </c>
      <c r="E7" s="11">
        <v>0.6331</v>
      </c>
      <c r="F7" s="11">
        <v>0.9484</v>
      </c>
      <c r="G7" s="13">
        <v>0.7593</v>
      </c>
      <c r="H7" s="11">
        <v>0.6842</v>
      </c>
      <c r="I7" s="11">
        <v>0.7497</v>
      </c>
      <c r="J7" s="13">
        <v>0.7155</v>
      </c>
      <c r="K7" s="11">
        <v>0.9084</v>
      </c>
      <c r="L7" s="11">
        <v>0.9992</v>
      </c>
      <c r="M7" s="12">
        <v>0.9516</v>
      </c>
    </row>
    <row r="8" spans="1:16">
      <c r="A8" s="10" t="s">
        <v>14</v>
      </c>
      <c r="B8" s="11">
        <v>0.8928</v>
      </c>
      <c r="C8" s="11">
        <v>0.9954</v>
      </c>
      <c r="D8" s="12">
        <v>0.9413</v>
      </c>
      <c r="E8" s="11">
        <v>0.7534</v>
      </c>
      <c r="F8" s="11">
        <v>1</v>
      </c>
      <c r="G8" s="13">
        <v>0.8594</v>
      </c>
      <c r="H8" s="11">
        <v>0.884</v>
      </c>
      <c r="I8" s="11">
        <v>1</v>
      </c>
      <c r="J8" s="13">
        <v>0.9384</v>
      </c>
      <c r="K8" s="11">
        <v>0.9861</v>
      </c>
      <c r="L8" s="11">
        <v>1</v>
      </c>
      <c r="M8" s="12">
        <v>0.993</v>
      </c>
    </row>
    <row r="9" spans="1:16">
      <c r="A9" s="14" t="s">
        <v>15</v>
      </c>
      <c r="B9" s="15">
        <f t="shared" ref="B9:M9" si="0">AVERAGE(B4:B8)</f>
        <v>0.72462</v>
      </c>
      <c r="C9" s="15">
        <f t="shared" si="0"/>
        <v>0.76052</v>
      </c>
      <c r="D9" s="16">
        <f t="shared" si="0"/>
        <v>0.72456</v>
      </c>
      <c r="E9" s="15">
        <f t="shared" si="0"/>
        <v>0.62998</v>
      </c>
      <c r="F9" s="15">
        <f t="shared" si="0"/>
        <v>0.96616</v>
      </c>
      <c r="G9" s="15">
        <f t="shared" si="0"/>
        <v>0.75712</v>
      </c>
      <c r="H9" s="15">
        <f t="shared" si="0"/>
        <v>0.6896</v>
      </c>
      <c r="I9" s="15">
        <f t="shared" si="0"/>
        <v>0.92654</v>
      </c>
      <c r="J9" s="15">
        <f t="shared" si="0"/>
        <v>0.78288</v>
      </c>
      <c r="K9" s="15">
        <f t="shared" si="0"/>
        <v>0.77772</v>
      </c>
      <c r="L9" s="15">
        <f t="shared" si="0"/>
        <v>0.97222</v>
      </c>
      <c r="M9" s="16">
        <f t="shared" si="0"/>
        <v>0.85642</v>
      </c>
    </row>
    <row r="11" ht="16.85" spans="1:16">
      <c r="A11" s="4" t="s">
        <v>16</v>
      </c>
      <c r="B11" s="4" t="s">
        <v>16</v>
      </c>
      <c r="C11" s="4" t="s">
        <v>16</v>
      </c>
      <c r="D11" s="5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6" t="s">
        <v>16</v>
      </c>
      <c r="K11" s="4" t="s">
        <v>16</v>
      </c>
      <c r="L11" s="4" t="s">
        <v>16</v>
      </c>
      <c r="M11" s="5" t="s">
        <v>16</v>
      </c>
    </row>
    <row r="12" spans="1:16">
      <c r="A12" s="7" t="s">
        <v>1</v>
      </c>
      <c r="B12" s="7" t="s">
        <v>2</v>
      </c>
      <c r="C12" s="7" t="s">
        <v>2</v>
      </c>
      <c r="D12" s="8" t="s">
        <v>2</v>
      </c>
      <c r="E12" s="7" t="s">
        <v>3</v>
      </c>
      <c r="F12" s="7" t="s">
        <v>3</v>
      </c>
      <c r="G12" s="7" t="s">
        <v>3</v>
      </c>
      <c r="H12" s="7" t="s">
        <v>4</v>
      </c>
      <c r="I12" s="7" t="s">
        <v>4</v>
      </c>
      <c r="J12" s="9" t="s">
        <v>4</v>
      </c>
      <c r="K12" s="7" t="s">
        <v>5</v>
      </c>
      <c r="L12" s="7" t="s">
        <v>5</v>
      </c>
      <c r="M12" s="8" t="s">
        <v>5</v>
      </c>
    </row>
    <row r="13" spans="1:16">
      <c r="A13" s="7" t="s">
        <v>6</v>
      </c>
      <c r="B13" s="7" t="s">
        <v>7</v>
      </c>
      <c r="C13" s="7" t="s">
        <v>8</v>
      </c>
      <c r="D13" s="8" t="s">
        <v>9</v>
      </c>
      <c r="E13" s="7" t="s">
        <v>7</v>
      </c>
      <c r="F13" s="7" t="s">
        <v>8</v>
      </c>
      <c r="G13" s="7" t="s">
        <v>9</v>
      </c>
      <c r="H13" s="7" t="s">
        <v>7</v>
      </c>
      <c r="I13" s="7" t="s">
        <v>8</v>
      </c>
      <c r="J13" s="9" t="s">
        <v>9</v>
      </c>
      <c r="K13" s="7" t="s">
        <v>7</v>
      </c>
      <c r="L13" s="7" t="s">
        <v>8</v>
      </c>
      <c r="M13" s="8" t="s">
        <v>9</v>
      </c>
    </row>
    <row r="14" spans="1:16">
      <c r="A14" s="10" t="s">
        <v>10</v>
      </c>
      <c r="B14" s="11">
        <v>0.8587</v>
      </c>
      <c r="C14" s="11">
        <v>0.4529</v>
      </c>
      <c r="D14" s="12">
        <v>0.5931</v>
      </c>
      <c r="E14" s="11">
        <v>0.8351</v>
      </c>
      <c r="F14" s="11">
        <v>0.3078</v>
      </c>
      <c r="G14" s="13">
        <v>0.4499</v>
      </c>
      <c r="H14" s="11">
        <v>0.9048</v>
      </c>
      <c r="I14" s="11">
        <v>0.5216</v>
      </c>
      <c r="J14" s="13">
        <v>0.6617</v>
      </c>
      <c r="K14" s="11">
        <v>0.9051</v>
      </c>
      <c r="L14" s="11">
        <v>0.6549</v>
      </c>
      <c r="M14" s="12">
        <v>0.76</v>
      </c>
      <c r="N14" s="11"/>
      <c r="O14" s="11"/>
      <c r="P14" s="12"/>
    </row>
    <row r="15" spans="1:16">
      <c r="A15" s="10" t="s">
        <v>11</v>
      </c>
      <c r="B15" s="11">
        <v>0.8252</v>
      </c>
      <c r="C15" s="11">
        <v>0.8972</v>
      </c>
      <c r="D15" s="12">
        <v>0.8597</v>
      </c>
      <c r="E15" s="11">
        <v>0.9972</v>
      </c>
      <c r="F15" s="11">
        <v>0.8504</v>
      </c>
      <c r="G15" s="13">
        <v>0.918</v>
      </c>
      <c r="H15" s="11">
        <v>0.9993</v>
      </c>
      <c r="I15" s="11">
        <v>0.8676</v>
      </c>
      <c r="J15" s="13">
        <v>0.9288</v>
      </c>
      <c r="K15" s="11">
        <v>0.9987</v>
      </c>
      <c r="L15" s="11">
        <v>0.9029</v>
      </c>
      <c r="M15" s="12">
        <v>0.9484</v>
      </c>
    </row>
    <row r="16" spans="1:16">
      <c r="A16" s="10" t="s">
        <v>12</v>
      </c>
      <c r="B16" s="11">
        <v>0.3478</v>
      </c>
      <c r="C16" s="11">
        <v>0.9655</v>
      </c>
      <c r="D16" s="12">
        <v>0.5114</v>
      </c>
      <c r="E16" s="11">
        <v>1</v>
      </c>
      <c r="F16" s="11">
        <v>0.2759</v>
      </c>
      <c r="G16" s="13">
        <v>0.4324</v>
      </c>
      <c r="H16" s="11">
        <v>1</v>
      </c>
      <c r="I16" s="11">
        <v>0.2241</v>
      </c>
      <c r="J16" s="13">
        <v>0.3662</v>
      </c>
      <c r="K16" s="11">
        <v>1</v>
      </c>
      <c r="L16" s="11">
        <v>0.3448</v>
      </c>
      <c r="M16" s="12">
        <v>0.5128</v>
      </c>
    </row>
    <row r="17" spans="1:13">
      <c r="A17" s="10" t="s">
        <v>13</v>
      </c>
      <c r="B17" s="11">
        <v>0.5524</v>
      </c>
      <c r="C17" s="11">
        <v>0.9885</v>
      </c>
      <c r="D17" s="12">
        <v>0.7088</v>
      </c>
      <c r="E17" s="11">
        <v>0.837</v>
      </c>
      <c r="F17" s="11">
        <v>0.2369</v>
      </c>
      <c r="G17" s="13">
        <v>0.3693</v>
      </c>
      <c r="H17" s="11">
        <v>0.7462</v>
      </c>
      <c r="I17" s="11">
        <v>0.5702</v>
      </c>
      <c r="J17" s="13">
        <v>0.6465</v>
      </c>
      <c r="K17" s="11">
        <v>1</v>
      </c>
      <c r="L17" s="11">
        <v>0.87</v>
      </c>
      <c r="M17" s="12">
        <v>0.9305</v>
      </c>
    </row>
    <row r="18" spans="1:13">
      <c r="A18" s="10" t="s">
        <v>14</v>
      </c>
      <c r="B18" s="11">
        <v>0.8626</v>
      </c>
      <c r="C18" s="11">
        <v>0.9573</v>
      </c>
      <c r="D18" s="12">
        <v>0.9075</v>
      </c>
      <c r="E18" s="11">
        <v>1</v>
      </c>
      <c r="F18" s="11">
        <v>0.7805</v>
      </c>
      <c r="G18" s="13">
        <v>0.8767</v>
      </c>
      <c r="H18" s="11">
        <v>1</v>
      </c>
      <c r="I18" s="11">
        <v>0.9146</v>
      </c>
      <c r="J18" s="13">
        <v>0.9554</v>
      </c>
      <c r="K18" s="11">
        <v>1</v>
      </c>
      <c r="L18" s="11">
        <v>0.9939</v>
      </c>
      <c r="M18" s="12">
        <v>0.9969</v>
      </c>
    </row>
    <row r="19" spans="1:13">
      <c r="A19" s="14" t="s">
        <v>15</v>
      </c>
      <c r="B19" s="15">
        <f t="shared" ref="B19:M19" si="1">AVERAGE(B14:B18)</f>
        <v>0.68934</v>
      </c>
      <c r="C19" s="15">
        <f t="shared" si="1"/>
        <v>0.85228</v>
      </c>
      <c r="D19" s="16">
        <f t="shared" si="1"/>
        <v>0.7161</v>
      </c>
      <c r="E19" s="15">
        <f t="shared" si="1"/>
        <v>0.93386</v>
      </c>
      <c r="F19" s="15">
        <f t="shared" si="1"/>
        <v>0.4903</v>
      </c>
      <c r="G19" s="15">
        <f t="shared" si="1"/>
        <v>0.60926</v>
      </c>
      <c r="H19" s="15">
        <f t="shared" si="1"/>
        <v>0.93006</v>
      </c>
      <c r="I19" s="15">
        <f t="shared" si="1"/>
        <v>0.61962</v>
      </c>
      <c r="J19" s="15">
        <f t="shared" si="1"/>
        <v>0.71172</v>
      </c>
      <c r="K19" s="15">
        <f t="shared" si="1"/>
        <v>0.98076</v>
      </c>
      <c r="L19" s="15">
        <f t="shared" si="1"/>
        <v>0.7533</v>
      </c>
      <c r="M19" s="16">
        <f t="shared" si="1"/>
        <v>0.82972</v>
      </c>
    </row>
  </sheetData>
  <mergeCells count="10">
    <mergeCell ref="A1:M1"/>
    <mergeCell ref="B2:D2"/>
    <mergeCell ref="E2:G2"/>
    <mergeCell ref="H2:J2"/>
    <mergeCell ref="K2:M2"/>
    <mergeCell ref="A11:M11"/>
    <mergeCell ref="B12:D12"/>
    <mergeCell ref="E12:G12"/>
    <mergeCell ref="H12:J12"/>
    <mergeCell ref="K12:M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WPS_1601775120</cp:lastModifiedBy>
  <dcterms:created xsi:type="dcterms:W3CDTF">2026-07-27T06:37:48Z</dcterms:created>
  <dcterms:modified xsi:type="dcterms:W3CDTF">2026-07-27T06:41:43Z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81D7D2AA761446F7BE86290CF06105AC_12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